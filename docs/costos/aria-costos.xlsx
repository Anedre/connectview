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7" name="Léeme" state="visible" r:id="rId4"/>
    <sheet sheetId="8" name="UDEP (real)" state="visible" r:id="rId5"/>
    <sheet sheetId="1" name="Parametros" state="visible" r:id="rId6"/>
    <sheet sheetId="2" name="Precios" state="visible" r:id="rId7"/>
    <sheet sheetId="3" name="CostoCliente" state="visible" r:id="rId8"/>
    <sheet sheetId="4" name="CostoARIA" state="visible" r:id="rId9"/>
    <sheet sheetId="5" name="Resumen" state="visible" r:id="rId10"/>
    <sheet sheetId="6" name="PrecioARIA" state="visible" r:id="rId11"/>
  </sheets>
  <calcPr calcId="171027"/>
</workbook>
</file>

<file path=xl/sharedStrings.xml><?xml version="1.0" encoding="utf-8"?>
<sst xmlns="http://schemas.openxmlformats.org/spreadsheetml/2006/main" count="508" uniqueCount="384">
  <si>
    <t>CALCULADORA DE COSTOS — ARIA (Connectview) · v3 2026-06-07</t>
  </si>
  <si>
    <t/>
  </si>
  <si>
    <t>Cómo usarla:</t>
  </si>
  <si>
    <t xml:space="preserve">  1. Editá la hoja 'Parametros' (volúmenes por escenario: agentes, llamadas, mensajes, etc.).</t>
  </si>
  <si>
    <t xml:space="preserve">  2. Si cambian los precios, editá 'Precios' (precios unitarios y supuestos).</t>
  </si>
  <si>
    <t xml:space="preserve">  3. 'CostoCliente', 'CostoARIA', 'Resumen' y 'PrecioARIA' recalculan automáticamente.</t>
  </si>
  <si>
    <t>Dos perspectivas (modelo BYO):</t>
  </si>
  <si>
    <t xml:space="preserve">  • Costo del CLIENTE  = lo que la empresa paga a AWS en SU propia cuenta</t>
  </si>
  <si>
    <t xml:space="preserve">    (Amazon Connect, telefonía, WhatsApp, Bedrock, DynamoDB de negocio, S3 de grabaciones).</t>
  </si>
  <si>
    <t xml:space="preserve">    La licencia de Salesforce es EXTERNA (no AWS) y se muestra aparte, fuera del TOTAL AWS.</t>
  </si>
  <si>
    <t xml:space="preserve">  • Costo de ARIA       = lo que paga la plataforma por operar el servicio para ese tenant</t>
  </si>
  <si>
    <t xml:space="preserve">    (Lambda, DynamoDB de metadata, Cognito, Secrets Manager, CloudWatch, hosting, transferencia).</t>
  </si>
  <si>
    <t>Escenarios de referencia: Piloto (~5 agentes), Pyme (~25), Enterprise (~100). Todo es editable.</t>
  </si>
  <si>
    <t>Hoja 'UDEP (real)': caso REAL con la factura AWS de la instancia Amazon Connect de la UDEP (1 mes,</t>
  </si>
  <si>
    <t>us-east-1, total $426.93). Compara la factura de HOY (analítica DIY: QuickSight + Kinesis + OpenSearch +</t>
  </si>
  <si>
    <t>Athena) contra el escenario CON ARIA, donde el dashboard de ARIA reemplaza ese stack (~$134.56/mes, −31.5%</t>
  </si>
  <si>
    <t>de la factura AWS) a cambio de la suscripción. Trae 3 gráficos nativos editables y valida cada precio</t>
  </si>
  <si>
    <t>unitario contra la realidad. El one-pager visual equivalente: docs/costos/udep-comparativa.html.</t>
  </si>
  <si>
    <t>IMPORTANTE — cobertura (sección D de 'PrecioARIA'): en BYO la instancia del cliente la paga EL CLIENTE</t>
  </si>
  <si>
    <t>directo a AWS; la suscripción solo cubre la plataforma de ARIA (~$3–5/agente) y deja 63–71% de margen.</t>
  </si>
  <si>
    <t>PERO si la instancia corriera en la cuenta de ARIA (piloto sin BYO, o add-on 'AWS gestionado' mal hecho),</t>
  </si>
  <si>
    <t>ARIA pagaría también la instancia y la suscripción NO alcanza: hay que facturar el consumo o ir all-inclusive.</t>
  </si>
  <si>
    <t>Dos definiciones de margen en 'Resumen': BRUTO (incl. opex, el real, ~63–71%) y CONTRIBUCIÓN (solo infra,</t>
  </si>
  <si>
    <t>~89–91%). No confundirlas: para decisiones de precio usá el margen BRUTO.</t>
  </si>
  <si>
    <t>v3 — correcciones de la auditoría (2026-06-07): precios verificados vs AWS Price List API; telefonía Perú</t>
  </si>
  <si>
    <t>(entrante 0.0075, saliente 0.0067), DynamoDB on-demand a la mitad, Contact Lens chat 0.0015, Meta WhatsApp</t>
  </si>
  <si>
    <t>0.02 (verificar Perú); Customer Profiles por perfil-día y Amazon Q por minuto de voz; líneas nuevas: AMD,</t>
  </si>
  <si>
    <t>WhatsApp EUM Social, Connect Tasks y egreso de grabaciones; secretos/tenant 2→4. Ítems aún marcados</t>
  </si>
  <si>
    <t>'verificar' (telefonía/Meta por país, EUM Social posible solapamiento): confirmá antes de cotizar.</t>
  </si>
  <si>
    <t>Generada con: node scripts/gen-costos-xlsx.mjs</t>
  </si>
  <si>
    <t>UDEP — caso real: factura AWS hoy vs. con ARIA</t>
  </si>
  <si>
    <t>Factura real de Amazon Connect (1 mes, us-east-1). Total $426.93. Escala ~4 agentes (3 autores + 1 lector QuickSight; 8.956 min de voz ≈ 149 h/mes). Telefonía $0 en AWS → BYOC/SIP propia. Cada precio unitario coincide exacto con la hoja 'Precios'.</t>
  </si>
  <si>
    <t>Servicio AWS (factura real)</t>
  </si>
  <si>
    <t>USD/mes</t>
  </si>
  <si>
    <t>% factura</t>
  </si>
  <si>
    <t>¿ARIA lo reemplaza?</t>
  </si>
  <si>
    <t>Detalle</t>
  </si>
  <si>
    <t>Amazon Connect — voz (end-customer-mins)</t>
  </si>
  <si>
    <t>No (core)</t>
  </si>
  <si>
    <t>8.955,65 min × $0.018/min</t>
  </si>
  <si>
    <t>QuickSight (3 autores + 1 lector)</t>
  </si>
  <si>
    <t>Sí — analítica</t>
  </si>
  <si>
    <t>licencias por asiento ($24 + $3)</t>
  </si>
  <si>
    <t>Contact Lens (voz 3.432 min + chat 260 msg)</t>
  </si>
  <si>
    <t>$0.015/min voz · $0.0015/msg chat</t>
  </si>
  <si>
    <t>DynamoDB (306,9M lecturas / 298k escrituras)</t>
  </si>
  <si>
    <t>lectura-dominante (0,1% escritura)</t>
  </si>
  <si>
    <t>Kinesis (1 stream on-demand 24/7)</t>
  </si>
  <si>
    <t>744 h × $0.04</t>
  </si>
  <si>
    <t>OpenSearch (1× t2.small.search 24/7)</t>
  </si>
  <si>
    <t>744 h × $0.036 + 10 GB</t>
  </si>
  <si>
    <t>S3 — grabaciones (~1 TB)</t>
  </si>
  <si>
    <t>storage + PUT/GET</t>
  </si>
  <si>
    <t>Lambda</t>
  </si>
  <si>
    <t>515k GB-s · 422k invocaciones</t>
  </si>
  <si>
    <t>Amazon Connect — chat</t>
  </si>
  <si>
    <t>770 msgs × $0.004</t>
  </si>
  <si>
    <t>Athena</t>
  </si>
  <si>
    <t>0,333 TB × $5/TB</t>
  </si>
  <si>
    <t>Key Management Service (KMS)</t>
  </si>
  <si>
    <t>1 key + 191k requests</t>
  </si>
  <si>
    <t>CloudWatch</t>
  </si>
  <si>
    <t>8 alarmas + ~0,5 GB logs</t>
  </si>
  <si>
    <t>Secrets Manager</t>
  </si>
  <si>
    <t>2 secretos × $0.40</t>
  </si>
  <si>
    <t>API Gateway</t>
  </si>
  <si>
    <t>~227k requests</t>
  </si>
  <si>
    <t>Data Transfer</t>
  </si>
  <si>
    <t>egreso mínimo</t>
  </si>
  <si>
    <t>Systems Manager</t>
  </si>
  <si>
    <t>1 parámetro avanzado</t>
  </si>
  <si>
    <t>Otros (Customer Profiles, Amplify, SNS, Backup, Glue)</t>
  </si>
  <si>
    <t>—</t>
  </si>
  <si>
    <t>free tier / sin cargo</t>
  </si>
  <si>
    <t>TOTAL factura AWS de la UDEP (USD/mes)</t>
  </si>
  <si>
    <t xml:space="preserve">  Subtotal — analítica que ARIA reemplaza (QuickSight+Kinesis+OpenSearch+Athena)</t>
  </si>
  <si>
    <t xml:space="preserve">  Subtotal — core contact center (se mantiene en AWS)</t>
  </si>
  <si>
    <t>Comparativa: hoy (analítica DIY en AWS) vs. con ARIA</t>
  </si>
  <si>
    <t>Agentes UDEP (editable)</t>
  </si>
  <si>
    <t>estimado: asientos QuickSight + volumen de voz</t>
  </si>
  <si>
    <t>Tarifa ARIA / agente (USD/mes, editable)</t>
  </si>
  <si>
    <t>tarifa piloto; ver hoja 'Resumen'</t>
  </si>
  <si>
    <t>Concepto</t>
  </si>
  <si>
    <t>Hoy (DIY)</t>
  </si>
  <si>
    <t>Con ARIA</t>
  </si>
  <si>
    <t>Nota</t>
  </si>
  <si>
    <t>AWS — core contact center (voz, chat, CL, datos, grabaciones)</t>
  </si>
  <si>
    <t>igual; lo paga directo a AWS (BYO)</t>
  </si>
  <si>
    <t>AWS — stack de analítica (QuickSight+Kinesis+OpenSearch+Athena)</t>
  </si>
  <si>
    <t>el dashboard de ARIA lo reemplaza</t>
  </si>
  <si>
    <t>Suscripción ARIA (software)</t>
  </si>
  <si>
    <t>dashboard + omnicanal + IA + soporte</t>
  </si>
  <si>
    <t>TOTAL mensual</t>
  </si>
  <si>
    <t>Ahorro en infraestructura AWS (hoy → con ARIA)</t>
  </si>
  <si>
    <t>lo que ARIA saca de la factura AWS</t>
  </si>
  <si>
    <t xml:space="preserve">  · como % de la factura AWS de hoy</t>
  </si>
  <si>
    <t>▸ La infraestructura de analítica baja $134.56/mes (−31,5% de la factura AWS). La suscripción ARIA reemplaza ese pipeline (Kinesis→OpenSearch→QuickSight) —que además hay que mantener— y agrega omnicanal, IA y soporte. El software ARIA se compara contra la LICENCIA que reemplaza, no contra el total de AWS.</t>
  </si>
  <si>
    <t>Datos para gráficos (calculados — no editar)</t>
  </si>
  <si>
    <t>Voz</t>
  </si>
  <si>
    <t>Analítica (ARIA reemplaza)</t>
  </si>
  <si>
    <t>Contact Lens</t>
  </si>
  <si>
    <t>DynamoDB</t>
  </si>
  <si>
    <t>S3 grabaciones</t>
  </si>
  <si>
    <t>Otros</t>
  </si>
  <si>
    <t>(stack)</t>
  </si>
  <si>
    <t>Hoy</t>
  </si>
  <si>
    <t>AWS core</t>
  </si>
  <si>
    <t>Analítica AWS</t>
  </si>
  <si>
    <t>Suscripción ARIA</t>
  </si>
  <si>
    <t>QuickSight</t>
  </si>
  <si>
    <t>Kinesis</t>
  </si>
  <si>
    <t>OpenSearch</t>
  </si>
  <si>
    <t>Parámetros de uso (editables) — un volumen por escenario</t>
  </si>
  <si>
    <t>Parámetro</t>
  </si>
  <si>
    <t>Piloto</t>
  </si>
  <si>
    <t>Pyme</t>
  </si>
  <si>
    <t>Enterprise</t>
  </si>
  <si>
    <t>Unidad / nota</t>
  </si>
  <si>
    <t>Agentes (en operación)</t>
  </si>
  <si>
    <t>agentes</t>
  </si>
  <si>
    <t>Días operativos al mes</t>
  </si>
  <si>
    <t>días</t>
  </si>
  <si>
    <t>Llamadas de voz ENTRANTES / mes</t>
  </si>
  <si>
    <t>llamadas</t>
  </si>
  <si>
    <t>Llamadas de voz SALIENTES (campañas) / mes</t>
  </si>
  <si>
    <t>Números telefónicos (DID) activos</t>
  </si>
  <si>
    <t>números</t>
  </si>
  <si>
    <t>Mensajes WhatsApp / mes (entrada + salida)</t>
  </si>
  <si>
    <t>mensajes</t>
  </si>
  <si>
    <t>Plantillas WhatsApp marketing (HSM) / mes</t>
  </si>
  <si>
    <t>mensajes Meta</t>
  </si>
  <si>
    <t>Chats web / mes</t>
  </si>
  <si>
    <t>Emails gestionados / mes</t>
  </si>
  <si>
    <t>Conversaciones de bot/Agente IA / mes</t>
  </si>
  <si>
    <t>conversaciones</t>
  </si>
  <si>
    <t>Resúmenes IA (Bedrock) / mes</t>
  </si>
  <si>
    <t>invocaciones</t>
  </si>
  <si>
    <t>Tareas de Connect (Tasks) / mes</t>
  </si>
  <si>
    <t>tareas</t>
  </si>
  <si>
    <t>Licencias Salesforce (usuarios) — EXTERNO, opcional</t>
  </si>
  <si>
    <t>usuarios SF (0 si no usa)</t>
  </si>
  <si>
    <t>% de interacciones con Contact Lens (voz y chat)</t>
  </si>
  <si>
    <t>0–1 (proporción)</t>
  </si>
  <si>
    <t>Grabaciones almacenadas (acumulado)</t>
  </si>
  <si>
    <t>GB</t>
  </si>
  <si>
    <t>Grabaciones reproducidas/descargadas / mes</t>
  </si>
  <si>
    <t>GB (egreso S3)</t>
  </si>
  <si>
    <t>Invocaciones Lambda / mes (estimado)</t>
  </si>
  <si>
    <t>Operaciones DynamoDB metadata (ARIA) / mes</t>
  </si>
  <si>
    <t>operaciones</t>
  </si>
  <si>
    <t>Operaciones DynamoDB negocio (cliente) / mes</t>
  </si>
  <si>
    <t>Logs CloudWatch / mes</t>
  </si>
  <si>
    <t>Transferencia de datos saliente / mes</t>
  </si>
  <si>
    <t>Hosting Amplify (fijo mensual)</t>
  </si>
  <si>
    <t>▸ Editá las columnas Piloto/Pyme/Enterprise. Las hojas de costo recalculan solas.</t>
  </si>
  <si>
    <t>Precios unitarios y supuestos (editables) — us-east-1, jun-2026</t>
  </si>
  <si>
    <t>Valor</t>
  </si>
  <si>
    <t>Unidad</t>
  </si>
  <si>
    <t>Fuente / nota</t>
  </si>
  <si>
    <t>Amazon Connect — omnicanal (PRECIOS REALES API, efectivo 2026-05-01)</t>
  </si>
  <si>
    <t>Connect — chat</t>
  </si>
  <si>
    <t>$/mensaje</t>
  </si>
  <si>
    <t>AWS Price List API (verificado)</t>
  </si>
  <si>
    <t>Connect — email</t>
  </si>
  <si>
    <t>Connect — WhatsApp (WBM serviced)</t>
  </si>
  <si>
    <t>Connect — campañas voz (conector)</t>
  </si>
  <si>
    <t>$/llamada</t>
  </si>
  <si>
    <t>Connect — tarea (Task)</t>
  </si>
  <si>
    <t>$/tarea</t>
  </si>
  <si>
    <t>AWS Connect pricing (Tasks)</t>
  </si>
  <si>
    <t>Amazon Connect — voz / telefonía (PERÚ — verificar operador/destino)</t>
  </si>
  <si>
    <t>Connect — uso de voz (servicio)</t>
  </si>
  <si>
    <t>$/min</t>
  </si>
  <si>
    <t>AWS Price List API (verificado, end-customer mins)</t>
  </si>
  <si>
    <t>Telefonía entrante DID (Perú)</t>
  </si>
  <si>
    <t>Connect Global Telephony Perú — verificar</t>
  </si>
  <si>
    <t>Telefonía saliente (Perú, DID)</t>
  </si>
  <si>
    <t>Connect bajó Sudamérica nov-2023; móvil mayor — verificar</t>
  </si>
  <si>
    <t>Número DID</t>
  </si>
  <si>
    <t>$/día</t>
  </si>
  <si>
    <t>AWS Connect pricing (rango por país)</t>
  </si>
  <si>
    <t>Detección de contestador (AMD)</t>
  </si>
  <si>
    <t>AWS Connect AMD — por llamada saliente</t>
  </si>
  <si>
    <t>Analítica e IA de Connect — Contact Lens · Customer Profiles · Amazon Q</t>
  </si>
  <si>
    <t>Contact Lens — analítica de voz</t>
  </si>
  <si>
    <t>Contact Lens — analítica de chat</t>
  </si>
  <si>
    <t>AWS Price List API (verificado, ChatAnalytics)</t>
  </si>
  <si>
    <t>Customer Profiles — perfil utilizado/día</t>
  </si>
  <si>
    <t>$/perfil-día</t>
  </si>
  <si>
    <t>AWS Customer Profiles (2 perfiles gratis/contacto voz·chat)</t>
  </si>
  <si>
    <t>Amazon Q in Connect — asistencia voz</t>
  </si>
  <si>
    <t>AWS Q in Connect (voz $0.008/min; chat/email/task aparte)</t>
  </si>
  <si>
    <t>WhatsApp — transporte AWS (EUM Social) + cargo de Meta</t>
  </si>
  <si>
    <t>AWS End User Messaging Social — WhatsApp</t>
  </si>
  <si>
    <t>Transporte AWS; puede solaparse con WBM si TODO va por Connect — ajustar</t>
  </si>
  <si>
    <t>Meta — conversación marketing (Perú aprox.)</t>
  </si>
  <si>
    <t>Meta cobra por mensaje desde 2025; LatAm mkt $0.02–0.07 — verificar Perú</t>
  </si>
  <si>
    <t>Amazon Bedrock — Claude (lista pública on-demand)</t>
  </si>
  <si>
    <t>Claude 3.5 Haiku — entrada</t>
  </si>
  <si>
    <t>$/1K tokens</t>
  </si>
  <si>
    <t>AWS Bedrock pricing (verificado, $0.80/M)</t>
  </si>
  <si>
    <t>Claude 3.5 Haiku — salida</t>
  </si>
  <si>
    <t>AWS Bedrock pricing (verificado, $4.00/M)</t>
  </si>
  <si>
    <t>Claude Sonnet 4 — entrada</t>
  </si>
  <si>
    <t>AWS Bedrock pricing</t>
  </si>
  <si>
    <t>Claude Sonnet 4 — salida</t>
  </si>
  <si>
    <t>Cómputo y almacenamiento (lista pública)</t>
  </si>
  <si>
    <t>Lambda — solicitudes</t>
  </si>
  <si>
    <t>$/1M req</t>
  </si>
  <si>
    <t>AWS Lambda pricing (verificado)</t>
  </si>
  <si>
    <t>Lambda — cómputo</t>
  </si>
  <si>
    <t>$/GB-segundo</t>
  </si>
  <si>
    <t>AWS Lambda pricing (verificado, tier 1)</t>
  </si>
  <si>
    <t>DynamoDB — escritura on-demand</t>
  </si>
  <si>
    <t>$/1M WRU</t>
  </si>
  <si>
    <t>AWS DynamoDB (verificado, recorte 50% nov-2024)</t>
  </si>
  <si>
    <t>DynamoDB — lectura on-demand</t>
  </si>
  <si>
    <t>$/1M RRU</t>
  </si>
  <si>
    <t>S3 Standard — almacenamiento</t>
  </si>
  <si>
    <t>$/GB-mes</t>
  </si>
  <si>
    <t>AWS S3 pricing (verificado)</t>
  </si>
  <si>
    <t>S3 — solicitudes PUT</t>
  </si>
  <si>
    <t>$/1K</t>
  </si>
  <si>
    <t>Cognito — usuario activo (MAU)</t>
  </si>
  <si>
    <t>$/MAU</t>
  </si>
  <si>
    <t>AWS Cognito (Essentials; Lite $0.0055)</t>
  </si>
  <si>
    <t>Secrets Manager — secreto</t>
  </si>
  <si>
    <t>$/secreto-mes</t>
  </si>
  <si>
    <t>AWS Secrets Manager (verificado)</t>
  </si>
  <si>
    <t>CloudWatch Logs — ingesta</t>
  </si>
  <si>
    <t>$/GB</t>
  </si>
  <si>
    <t>AWS CloudWatch (verificado)</t>
  </si>
  <si>
    <t>Transferencia de datos saliente</t>
  </si>
  <si>
    <t>AWS pricing (verificado, primeros 10 TB)</t>
  </si>
  <si>
    <t>Licencias externas (NO son AWS) — software de terceros del cliente</t>
  </si>
  <si>
    <t>Salesforce — licencia por usuario</t>
  </si>
  <si>
    <t>$/usuario-mes</t>
  </si>
  <si>
    <t>Licencia externa de Salesforce (NO AWS) — verificar plan</t>
  </si>
  <si>
    <t>Supuestos de cálculo (editables)</t>
  </si>
  <si>
    <t>Duración media llamada entrante</t>
  </si>
  <si>
    <t>min</t>
  </si>
  <si>
    <t>Duración media llamada saliente</t>
  </si>
  <si>
    <t>% de minutos de voz con asistencia Amazon Q</t>
  </si>
  <si>
    <t>0–1</t>
  </si>
  <si>
    <t>Turnos por conversación de bot</t>
  </si>
  <si>
    <t>turnos</t>
  </si>
  <si>
    <t>Tokens de entrada por turno de bot</t>
  </si>
  <si>
    <t>tokens</t>
  </si>
  <si>
    <t>Tokens de salida por turno de bot</t>
  </si>
  <si>
    <t>Tokens de entrada por resumen</t>
  </si>
  <si>
    <t>Tokens de salida por resumen</t>
  </si>
  <si>
    <t>GB-segundo por invocación Lambda</t>
  </si>
  <si>
    <t>GB-s (256MB·300ms)</t>
  </si>
  <si>
    <t>Proporción de escrituras DynamoDB</t>
  </si>
  <si>
    <t>Secretos por tenant (SF + WhatsApp + OAuth)</t>
  </si>
  <si>
    <t>secretos</t>
  </si>
  <si>
    <t>Costo del CLIENTE (AWS en su cuenta BYO) — USD/mes · la licencia Salesforce va aparte</t>
  </si>
  <si>
    <t>Cómo se calcula</t>
  </si>
  <si>
    <t>Voz entrante — servicio Connect</t>
  </si>
  <si>
    <t>llamadas × min × $/min</t>
  </si>
  <si>
    <t>Voz entrante — telefonía (DID Perú)</t>
  </si>
  <si>
    <t>Voz saliente — servicio Connect</t>
  </si>
  <si>
    <t>Voz saliente — telefonía (Perú)</t>
  </si>
  <si>
    <t>Campañas de voz — conector</t>
  </si>
  <si>
    <t>llamadas × $/llamada</t>
  </si>
  <si>
    <t>Detección de contestador (AMD) — salientes</t>
  </si>
  <si>
    <t>llamadas salientes × $/llamada</t>
  </si>
  <si>
    <t>Contact Lens — analítica de VOZ</t>
  </si>
  <si>
    <t>min con CL × $/min</t>
  </si>
  <si>
    <t>Contact Lens — analítica de CHAT</t>
  </si>
  <si>
    <t>chats × % CL × $/msg</t>
  </si>
  <si>
    <t>contactos × $/perfil-día (≈ perfiles únicos)</t>
  </si>
  <si>
    <t>Amazon Q in Connect — copiloto (voz)</t>
  </si>
  <si>
    <t>min voz × % con Q × $/min</t>
  </si>
  <si>
    <t>Números DID (renta)</t>
  </si>
  <si>
    <t>números × $/día × días</t>
  </si>
  <si>
    <t>WhatsApp — servicio Connect (WBM)</t>
  </si>
  <si>
    <t>mensajes × $/msg</t>
  </si>
  <si>
    <t>WhatsApp — transporte AWS (EUM Social)</t>
  </si>
  <si>
    <t>mensajes × $/msg (verificar solapamiento con WBM)</t>
  </si>
  <si>
    <t>WhatsApp — conversaciones Meta (HSM)</t>
  </si>
  <si>
    <t>plantillas × $/msg</t>
  </si>
  <si>
    <t>Chat web</t>
  </si>
  <si>
    <t>Email</t>
  </si>
  <si>
    <t>Connect Tasks (tareas)</t>
  </si>
  <si>
    <t>tareas × $/tarea</t>
  </si>
  <si>
    <t>Bedrock — bots / Agente IA</t>
  </si>
  <si>
    <t>conv × turnos × tokens × $</t>
  </si>
  <si>
    <t>Bedrock — resúmenes / copiloto</t>
  </si>
  <si>
    <t>invocaciones × tokens × $</t>
  </si>
  <si>
    <t>DynamoDB — datos de negocio (BYO)</t>
  </si>
  <si>
    <t>ops × mezcla R/W × $</t>
  </si>
  <si>
    <t>S3 — grabaciones (almacenamiento + PUT)</t>
  </si>
  <si>
    <t>GB × $/GB + PUT</t>
  </si>
  <si>
    <t>S3 — egreso de grabaciones (reproducción/descarga)</t>
  </si>
  <si>
    <t>GB reproducidos × $/GB</t>
  </si>
  <si>
    <t>TOTAL Cliente — AWS (USD/mes)</t>
  </si>
  <si>
    <t xml:space="preserve">  Costo AWS por agente (USD/mes)</t>
  </si>
  <si>
    <t>Licencias externas (NO son AWS) — se facturan aparte</t>
  </si>
  <si>
    <t>Salesforce — licencia (EXTERNA, no AWS) · opcional</t>
  </si>
  <si>
    <t>usuarios SF × $/usuario — poné 0 si no usa SF; es licencia que el cliente ya paga</t>
  </si>
  <si>
    <t xml:space="preserve">  Subtotal licencias externas (USD/mes)</t>
  </si>
  <si>
    <t>TOTAL con licencias externas (USD/mes)</t>
  </si>
  <si>
    <t>Costo de ARIA (plataforma · cuenta 731736972577) — USD/mes por tenant</t>
  </si>
  <si>
    <t>invocaciones × $/1M</t>
  </si>
  <si>
    <t>invocaciones × GB-s × $</t>
  </si>
  <si>
    <t>DynamoDB — metadata SaaS</t>
  </si>
  <si>
    <t>Cognito — usuarios activos (MAU)</t>
  </si>
  <si>
    <t>agentes × $/MAU</t>
  </si>
  <si>
    <t>secretos × $/mes</t>
  </si>
  <si>
    <t>CloudWatch Logs</t>
  </si>
  <si>
    <t>GB × $/GB</t>
  </si>
  <si>
    <t>Amplify Hosting</t>
  </si>
  <si>
    <t>fijo mensual</t>
  </si>
  <si>
    <t>Transferencia de datos</t>
  </si>
  <si>
    <t>TOTAL ARIA — AWS (USD/mes)</t>
  </si>
  <si>
    <t>Resumen ejecutivo de costos — USD/mes</t>
  </si>
  <si>
    <t>Costo del CLIENTE — AWS BYO (sin licencias)</t>
  </si>
  <si>
    <t xml:space="preserve">  · por agente</t>
  </si>
  <si>
    <t>Licencia Salesforce (externa, opcional)</t>
  </si>
  <si>
    <t>Costo de la PLATAFORMA (ARIA)</t>
  </si>
  <si>
    <t>Opex por agente (soporte, dev, ventas) — EDITABLE</t>
  </si>
  <si>
    <t>baja con la escala</t>
  </si>
  <si>
    <t>Costo de servir por agente (infra + opex)</t>
  </si>
  <si>
    <t>Tarifa ARIA por agente (USD/mes) — EDITABLE</t>
  </si>
  <si>
    <t>ver análisis en hoja 'PrecioARIA'</t>
  </si>
  <si>
    <t>Ingreso de ARIA (tarifa × agentes)</t>
  </si>
  <si>
    <t>Margen BRUTO de ARIA (incl. opex)</t>
  </si>
  <si>
    <t>el margen 'real' del SaaS</t>
  </si>
  <si>
    <t>Margen de contribución (solo infra)</t>
  </si>
  <si>
    <t>ignora opex — NO confundir con margen bruto</t>
  </si>
  <si>
    <t>Utilidad bruta ARIA / tenant</t>
  </si>
  <si>
    <t>COSTO TOTAL para el cliente (AWS propio + tarifa ARIA)</t>
  </si>
  <si>
    <t>▸ 'Costo del cliente' = lo que paga a AWS en SU cuenta (BYO); la licencia Salesforce es externa y va aparte. 'Costo de la plataforma' = lo que paga ARIA por operar. Dos márgenes: BRUTO (incl. opex, el real) y CONTRIBUCIÓN (solo infra, más alto).</t>
  </si>
  <si>
    <t>¿Cuánto cobrar por ARIA? — análisis de precio (USD/mes por agente)</t>
  </si>
  <si>
    <t>A) Costo de servir — lo que le cuesta a ARIA operar (por agente)</t>
  </si>
  <si>
    <t>Costo de plataforma / agente (viene de 'Resumen')</t>
  </si>
  <si>
    <t>infra: Lambda, DynamoDB, Cognito, hosting…</t>
  </si>
  <si>
    <t>+ Opex / agente (viene de 'Resumen' — fuente única)</t>
  </si>
  <si>
    <t>soporte, dev, ventas, overhead</t>
  </si>
  <si>
    <t>= Costo de servir / agente</t>
  </si>
  <si>
    <t>B) Tres formas de poner el precio</t>
  </si>
  <si>
    <t>Margen bruto objetivo (para costo-plus)</t>
  </si>
  <si>
    <t>EDITABLE (0–1)</t>
  </si>
  <si>
    <t>1) COSTO-PLUS · precio = costo de servir ÷ (1 − margen)</t>
  </si>
  <si>
    <t>piso: cubre costo + margen</t>
  </si>
  <si>
    <t>Techo de VALOR: licencia/agente de Kommo+Chattigo+Salesforce</t>
  </si>
  <si>
    <t>EDITABLE — software que reemplaza</t>
  </si>
  <si>
    <t xml:space="preserve">  % de ese valor que captura ARIA</t>
  </si>
  <si>
    <t>2) POR VALOR · precio = techo de valor × % capturado</t>
  </si>
  <si>
    <t>techo: lo que el cliente ya paga hoy</t>
  </si>
  <si>
    <t>Markup sobre el AWS del cliente (servicio gestionado)</t>
  </si>
  <si>
    <t>3) POR SERVICIO · markup × (consumo BYO / agente)</t>
  </si>
  <si>
    <t>add-on: el CLIENTE sigue pagando su AWS; ARIA solo lo opera</t>
  </si>
  <si>
    <t>C) Recomendación ARIA — híbrido: suscripción por agente + consumo BYO a costo</t>
  </si>
  <si>
    <t>» Precio recomendado / agente (= tarifa de 'Resumen')</t>
  </si>
  <si>
    <t>editá la tarifa en 'Resumen'</t>
  </si>
  <si>
    <t>Margen bruto resultante</t>
  </si>
  <si>
    <t>Descuento vs. su software actual (techo de valor)</t>
  </si>
  <si>
    <t>qué tan barato es el SOFTWARE vs. lo que paga hoy</t>
  </si>
  <si>
    <t>Ingreso ARIA / tenant (precio × agentes)</t>
  </si>
  <si>
    <t>D) Si ARIA HOSPEDA la instancia del cliente (NO-BYO) — alerta de cobertura</t>
  </si>
  <si>
    <t>Costo total si corre en la cuenta de ARIA / agente</t>
  </si>
  <si>
    <t>instancia del cliente + servir: aquí la suscripción NO alcanza</t>
  </si>
  <si>
    <t>Precio all-inclusive para break-even / agente</t>
  </si>
  <si>
    <t>piso absoluto: 0% margen</t>
  </si>
  <si>
    <t>Precio all-inclusive para margen objetivo / agente</t>
  </si>
  <si>
    <t>con el margen objetivo de arriba</t>
  </si>
  <si>
    <t>Metodología — cómo se decide el precio:</t>
  </si>
  <si>
    <t xml:space="preserve">  • Costo-plus (PISO): la infraestructura de ARIA cuesta ~US$3–5 por agente al mes. Aun sumando soporte y</t>
  </si>
  <si>
    <t xml:space="preserve">    desarrollo, el costo de servir queda bajo. Cobrar 'a costo + margen' dejaría mucha plata sobre la mesa.</t>
  </si>
  <si>
    <t xml:space="preserve">  • Por valor (TECHO): el cliente HOY paga US$80–200 por agente en LICENCIAS de Kommo, Chattigo y Salesforce.</t>
  </si>
  <si>
    <t xml:space="preserve">    Ese es el techo. ARIA captura ~1/3 de ese valor y aun así es muchísimo más barato para él.</t>
  </si>
  <si>
    <t xml:space="preserve">  • Por servicio (ADD-ON): en BYO el cliente paga su propio AWS. ARIA puede gestionarlo con un markup (10–15%)</t>
  </si>
  <si>
    <t xml:space="preserve">    como servicio administrado — el cliente SIGUE pagando su AWS, ARIA solo lo opera. No es el modelo principal.</t>
  </si>
  <si>
    <t>Recomendación: SUSCRIPCIÓN POR AGENTE (precio plano, predecible) + el consumo variable de AWS (telefonía,</t>
  </si>
  <si>
    <t>WhatsApp, IA) que el cliente paga directo a AWS, a costo y sin markup. Es transparente, fácil de vender y</t>
  </si>
  <si>
    <t>deja 63–71% de margen bruto. El 'por servicio' se ofrece sólo como add-on gestionado.</t>
  </si>
  <si>
    <t>⚠ ALERTA (sección D): si en un PILOTO o en 'AWS gestionado' la instancia corre en la CUENTA DE ARIA en vez de</t>
  </si>
  <si>
    <t>la del cliente, ARIA paga TAMBIÉN la instancia (~$96–124/agente). Ahí la suscripción de $29–45 NO cubre: hay</t>
  </si>
  <si>
    <t>que facturar el consumo aparte o cobrar all-inclusive (ver sección D). En BYO real esto no pasa: lo paga el cliente.</t>
  </si>
  <si>
    <t>Comparación justa: el precio ARIA (software) se compara contra la LICENCIA del software que reemplaza, no</t>
  </si>
  <si>
    <t>contra el total. La telefonía/WhatsApp el cliente la paga con CUALQUIER herramienta — con ARIA la paga a</t>
  </si>
  <si>
    <t>costo AWS (normalmente más barata que la que viene 'empaquetada' en las plataformas tradicionales).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</si>
</sst>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"/>
    <numFmt numFmtId="165" formatCode="0.0%"/>
    <numFmt numFmtId="166" formatCode="&quot;$&quot;#,##0.0000"/>
    <numFmt numFmtId="167" formatCode="&quot;$&quot;#,##0.00000000"/>
    <numFmt numFmtId="168" formatCode="#,##0.000"/>
  </numFmts>
  <fonts count="10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6B7280"/>
    </font>
    <font>
      <b/>
      <color rgb="FFFFFFFF"/>
    </font>
    <font>
      <i/>
      <color rgb="FF6B7280"/>
      <sz val="9"/>
    </font>
    <font>
      <b/>
      <color rgb="FF92400E"/>
    </font>
    <font>
      <b/>
      <sz val="12"/>
    </font>
    <font>
      <i/>
      <color rgb="FF4B5563"/>
    </font>
    <font>
      <b/>
      <color rgb="FF6B7280"/>
    </font>
  </fonts>
  <fills count="7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5EDFF"/>
      </patternFill>
    </fill>
    <fill>
      <patternFill patternType="solid">
        <fgColor rgb="FFF3E8FF"/>
      </patternFill>
    </fill>
    <fill>
      <patternFill patternType="solid">
        <fgColor rgb="FFFFF3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164" fontId="0" fillId="3" borderId="0" xfId="0" applyNumberFormat="1" applyFill="1"/>
    <xf numFmtId="165" fontId="0" fillId="0" borderId="0" xfId="0" applyNumberFormat="1"/>
    <xf numFmtId="0" fontId="5" fillId="0" borderId="0" xfId="0" applyFont="1"/>
    <xf numFmtId="164" fontId="0" fillId="4" borderId="0" xfId="0" applyNumberFormat="1" applyFill="1"/>
    <xf numFmtId="0" fontId="6" fillId="0" borderId="0" xfId="0" applyFont="1"/>
    <xf numFmtId="164" fontId="2" fillId="5" borderId="0" xfId="0" applyNumberFormat="1" applyFont="1" applyFill="1"/>
    <xf numFmtId="164" fontId="2" fillId="4" borderId="0" xfId="0" applyNumberFormat="1" applyFont="1" applyFill="1"/>
    <xf numFmtId="164" fontId="2" fillId="3" borderId="0" xfId="0" applyNumberFormat="1" applyFont="1" applyFill="1"/>
    <xf numFmtId="0" fontId="7" fillId="0" borderId="0" xfId="0" applyFont="1"/>
    <xf numFmtId="3" fontId="0" fillId="3" borderId="0" xfId="0" applyNumberFormat="1" applyFill="1"/>
    <xf numFmtId="164" fontId="0" fillId="0" borderId="0" xfId="0" applyNumberFormat="1"/>
    <xf numFmtId="0" fontId="8" fillId="0" borderId="0" xfId="0" applyFont="1"/>
    <xf numFmtId="0" fontId="9" fillId="0" borderId="0" xfId="0" applyFont="1"/>
    <xf numFmtId="9" fontId="0" fillId="3" borderId="0" xfId="0" applyNumberFormat="1" applyFill="1"/>
    <xf numFmtId="0" fontId="2" fillId="6" borderId="0" xfId="0" applyFont="1" applyFill="1"/>
    <xf numFmtId="166" fontId="0" fillId="3" borderId="0" xfId="0" applyNumberFormat="1" applyFill="1"/>
    <xf numFmtId="167" fontId="0" fillId="3" borderId="0" xfId="0" applyNumberFormat="1" applyFill="1"/>
    <xf numFmtId="168" fontId="0" fillId="3" borderId="0" xfId="0" applyNumberFormat="1" applyFill="1"/>
    <xf numFmtId="0" fontId="2" fillId="4" borderId="0" xfId="0" applyFont="1" applyFill="1"/>
    <xf numFmtId="165" fontId="0" fillId="5" borderId="0" xfId="0" applyNumberFormat="1" applyFill="1"/>
    <xf numFmtId="164" fontId="0" fillId="5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s-PE" sz="1100" b="1"/>
              <a:t>¿En qué se va la factura AWS de la UDEP hoy?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1"/>
            <c:bubble3D val="0"/>
            <c:spPr>
              <a:solidFill>
                <a:srgbClr val="F59E0B"/>
              </a:solidFill>
            </c:spPr>
          </c:dPt>
          <c:cat>
            <c:strRef>
              <c:f>'UDEP (real)'!$A$41:$A$47</c:f>
              <c:strCache>
                <c:ptCount val="7"/>
                <c:pt idx="0">
                  <c:v>Voz</c:v>
                </c:pt>
                <c:pt idx="1">
                  <c:v>Analítica (ARIA reemplaza)</c:v>
                </c:pt>
                <c:pt idx="2">
                  <c:v>Contact Lens</c:v>
                </c:pt>
                <c:pt idx="3">
                  <c:v>DynamoDB</c:v>
                </c:pt>
                <c:pt idx="4">
                  <c:v>S3 grabaciones</c:v>
                </c:pt>
                <c:pt idx="5">
                  <c:v>Lambda</c:v>
                </c:pt>
                <c:pt idx="6">
                  <c:v>Otros</c:v>
                </c:pt>
              </c:strCache>
            </c:strRef>
          </c:cat>
          <c:val>
            <c:numRef>
              <c:f>'UDEP (real)'!$B$41:$B$47</c:f>
              <c:numCache>
                <c:formatCode>General</c:formatCode>
                <c:ptCount val="7"/>
                <c:pt idx="0">
                  <c:v>161.2</c:v>
                </c:pt>
                <c:pt idx="1">
                  <c:v>134.56</c:v>
                </c:pt>
                <c:pt idx="2">
                  <c:v>51.88</c:v>
                </c:pt>
                <c:pt idx="3">
                  <c:v>39.2</c:v>
                </c:pt>
                <c:pt idx="4">
                  <c:v>23.82</c:v>
                </c:pt>
                <c:pt idx="5">
                  <c:v>8.68</c:v>
                </c:pt>
                <c:pt idx="6">
                  <c:v>7.59</c:v>
                </c:pt>
              </c:numCache>
            </c:numRef>
          </c:val>
        </c:ser>
        <c:dLbls>
          <c:numFmt formatCode="0.0%" sourceLinked="0"/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s-PE" sz="1100" b="1"/>
              <a:t>Costo mensual: hoy vs. con ARIA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AWS core</c:v>
          </c:tx>
          <c:spPr>
            <a:solidFill>
              <a:srgbClr val="2563EB"/>
            </a:solidFill>
          </c:spPr>
          <c:cat>
            <c:strRef>
              <c:f>'UDEP (real)'!$B$48:$C$48</c:f>
              <c:strCache>
                <c:ptCount val="2"/>
                <c:pt idx="0">
                  <c:v>Hoy</c:v>
                </c:pt>
                <c:pt idx="1">
                  <c:v>Con ARIA</c:v>
                </c:pt>
              </c:strCache>
            </c:strRef>
          </c:cat>
          <c:val>
            <c:numRef>
              <c:f>'UDEP (real)'!$B$49:$C$49</c:f>
              <c:numCache>
                <c:formatCode>General</c:formatCode>
                <c:ptCount val="2"/>
                <c:pt idx="0">
                  <c:v>292.37</c:v>
                </c:pt>
                <c:pt idx="1">
                  <c:v>292.37</c:v>
                </c:pt>
              </c:numCache>
            </c:numRef>
          </c:val>
        </c:ser>
        <c:ser>
          <c:idx val="1"/>
          <c:order val="1"/>
          <c:tx>
            <c:v>Analítica AWS (ARIA reemplaza)</c:v>
          </c:tx>
          <c:spPr>
            <a:solidFill>
              <a:srgbClr val="F59E0B"/>
            </a:solidFill>
          </c:spPr>
          <c:cat>
            <c:strRef>
              <c:f>'UDEP (real)'!$B$48:$C$48</c:f>
              <c:strCache>
                <c:ptCount val="2"/>
                <c:pt idx="0">
                  <c:v>Hoy</c:v>
                </c:pt>
                <c:pt idx="1">
                  <c:v>Con ARIA</c:v>
                </c:pt>
              </c:strCache>
            </c:strRef>
          </c:cat>
          <c:val>
            <c:numRef>
              <c:f>'UDEP (real)'!$B$50:$C$50</c:f>
              <c:numCache>
                <c:formatCode>General</c:formatCode>
                <c:ptCount val="2"/>
                <c:pt idx="0">
                  <c:v>134.56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Suscripción ARIA</c:v>
          </c:tx>
          <c:spPr>
            <a:solidFill>
              <a:srgbClr val="10B981"/>
            </a:solidFill>
          </c:spPr>
          <c:cat>
            <c:strRef>
              <c:f>'UDEP (real)'!$B$48:$C$48</c:f>
              <c:strCache>
                <c:ptCount val="2"/>
                <c:pt idx="0">
                  <c:v>Hoy</c:v>
                </c:pt>
                <c:pt idx="1">
                  <c:v>Con ARIA</c:v>
                </c:pt>
              </c:strCache>
            </c:strRef>
          </c:cat>
          <c:val>
            <c:numRef>
              <c:f>'UDEP (real)'!$B$51:$C$51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val>
        </c:ser>
        <c:dLbls>
          <c:numFmt formatCode="&quot;$&quot;#,##0" sourceLinked="0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511110001"/>
        <c:axId val="511110002"/>
      </c:barChart>
      <c:catAx>
        <c:axId val="511110001"/>
        <c:scaling>
          <c:orientation val="minMax"/>
        </c:scaling>
        <c:delete val="0"/>
        <c:axPos val="b"/>
        <c:crossAx val="511110002"/>
      </c:catAx>
      <c:valAx>
        <c:axId val="511110002"/>
        <c:scaling>
          <c:orientation val="minMax"/>
        </c:scaling>
        <c:delete val="0"/>
        <c:axPos val="l"/>
        <c:numFmt formatCode="&quot;$&quot;#,##0" sourceLinked="0"/>
        <c:crossAx val="511110001"/>
      </c:valAx>
    </c:plotArea>
    <c:legend>
      <c:legendPos val="b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100" b="1"/>
            </a:pPr>
            <a:r>
              <a:rPr lang="es-PE" sz="1100" b="1"/>
              <a:t>Infra de analítica que ARIA elimina (USD/mes)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USD/mes</c:v>
          </c:tx>
          <c:spPr>
            <a:solidFill>
              <a:srgbClr val="F59E0B"/>
            </a:solidFill>
          </c:spPr>
          <c:cat>
            <c:strRef>
              <c:f>'UDEP (real)'!$A$52:$A$55</c:f>
              <c:strCache>
                <c:ptCount val="4"/>
                <c:pt idx="0">
                  <c:v>QuickSight</c:v>
                </c:pt>
                <c:pt idx="1">
                  <c:v>Kinesis</c:v>
                </c:pt>
                <c:pt idx="2">
                  <c:v>OpenSearch</c:v>
                </c:pt>
                <c:pt idx="3">
                  <c:v>Athena</c:v>
                </c:pt>
              </c:strCache>
            </c:strRef>
          </c:cat>
          <c:val>
            <c:numRef>
              <c:f>'UDEP (real)'!$B$52:$B$55</c:f>
              <c:numCache>
                <c:formatCode>General</c:formatCode>
                <c:ptCount val="4"/>
                <c:pt idx="0">
                  <c:v>75</c:v>
                </c:pt>
                <c:pt idx="1">
                  <c:v>29.76</c:v>
                </c:pt>
                <c:pt idx="2">
                  <c:v>28.13</c:v>
                </c:pt>
                <c:pt idx="3">
                  <c:v>1.67</c:v>
                </c:pt>
              </c:numCache>
            </c:numRef>
          </c:val>
        </c:ser>
        <c:dLbls>
          <c:numFmt formatCode="&quot;$&quot;#,##0" sourceLinked="0"/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511110001"/>
        <c:axId val="511110002"/>
      </c:barChart>
      <c:catAx>
        <c:axId val="511110001"/>
        <c:scaling>
          <c:orientation val="minMax"/>
        </c:scaling>
        <c:delete val="0"/>
        <c:axPos val="b"/>
        <c:crossAx val="511110002"/>
      </c:catAx>
      <c:valAx>
        <c:axId val="511110002"/>
        <c:scaling>
          <c:orientation val="minMax"/>
        </c:scaling>
        <c:delete val="0"/>
        <c:axPos val="l"/>
        <c:numFmt formatCode="&quot;$&quot;#,##0" sourceLinked="0"/>
        <c:crossAx val="511110001"/>
      </c:valAx>
    </c:plotArea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43</xdr:row>
      <xdr:rowOff>0</xdr:rowOff>
    </xdr:from>
    <xdr:to>
      <xdr:col>17</xdr:col>
      <xdr:colOff>0</xdr:colOff>
      <xdr:row>63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4" width="14" customWidth="1"/>
    <col min="5" max="5" width="30" customWidth="1"/>
  </cols>
  <sheetData>
    <row r="1" spans="1:5" s="1" customFormat="1" x14ac:dyDescent="0.25">
      <c r="A1" s="1" t="s">
        <v>112</v>
      </c>
      <c r="B1" s="1"/>
      <c r="C1" s="1"/>
      <c r="D1" s="1"/>
      <c r="E1" s="1"/>
    </row>
    <row r="3" spans="1:5" x14ac:dyDescent="0.25">
      <c r="A3" s="4" t="s">
        <v>113</v>
      </c>
      <c r="B3" s="5" t="s">
        <v>114</v>
      </c>
      <c r="C3" s="5" t="s">
        <v>115</v>
      </c>
      <c r="D3" s="5" t="s">
        <v>116</v>
      </c>
      <c r="E3" s="5" t="s">
        <v>117</v>
      </c>
    </row>
    <row r="4" spans="1:5" x14ac:dyDescent="0.25">
      <c r="A4" t="s">
        <v>118</v>
      </c>
      <c r="B4" s="15">
        <v>5</v>
      </c>
      <c r="C4" s="15">
        <v>25</v>
      </c>
      <c r="D4" s="15">
        <v>100</v>
      </c>
      <c r="E4" t="s">
        <v>119</v>
      </c>
    </row>
    <row r="5" spans="1:5" x14ac:dyDescent="0.25">
      <c r="A5" t="s">
        <v>120</v>
      </c>
      <c r="B5" s="15">
        <v>22</v>
      </c>
      <c r="C5" s="15">
        <v>22</v>
      </c>
      <c r="D5" s="15">
        <v>22</v>
      </c>
      <c r="E5" t="s">
        <v>121</v>
      </c>
    </row>
    <row r="6" spans="1:5" x14ac:dyDescent="0.25">
      <c r="A6" t="s">
        <v>122</v>
      </c>
      <c r="B6" s="15">
        <v>1500</v>
      </c>
      <c r="C6" s="15">
        <v>6000</v>
      </c>
      <c r="D6" s="15">
        <v>32000</v>
      </c>
      <c r="E6" t="s">
        <v>123</v>
      </c>
    </row>
    <row r="7" spans="1:5" x14ac:dyDescent="0.25">
      <c r="A7" t="s">
        <v>124</v>
      </c>
      <c r="B7" s="15">
        <v>800</v>
      </c>
      <c r="C7" s="15">
        <v>3500</v>
      </c>
      <c r="D7" s="15">
        <v>18000</v>
      </c>
      <c r="E7" t="s">
        <v>123</v>
      </c>
    </row>
    <row r="8" spans="1:5" x14ac:dyDescent="0.25">
      <c r="A8" t="s">
        <v>125</v>
      </c>
      <c r="B8" s="15">
        <v>2</v>
      </c>
      <c r="C8" s="15">
        <v>5</v>
      </c>
      <c r="D8" s="15">
        <v>20</v>
      </c>
      <c r="E8" t="s">
        <v>126</v>
      </c>
    </row>
    <row r="9" spans="1:5" x14ac:dyDescent="0.25">
      <c r="A9" t="s">
        <v>127</v>
      </c>
      <c r="B9" s="15">
        <v>8000</v>
      </c>
      <c r="C9" s="15">
        <v>30000</v>
      </c>
      <c r="D9" s="15">
        <v>150000</v>
      </c>
      <c r="E9" t="s">
        <v>128</v>
      </c>
    </row>
    <row r="10" spans="1:5" x14ac:dyDescent="0.25">
      <c r="A10" t="s">
        <v>129</v>
      </c>
      <c r="B10" s="15">
        <v>1500</v>
      </c>
      <c r="C10" s="15">
        <v>6000</v>
      </c>
      <c r="D10" s="15">
        <v>30000</v>
      </c>
      <c r="E10" t="s">
        <v>130</v>
      </c>
    </row>
    <row r="11" spans="1:5" x14ac:dyDescent="0.25">
      <c r="A11" t="s">
        <v>131</v>
      </c>
      <c r="B11" s="15">
        <v>1000</v>
      </c>
      <c r="C11" s="15">
        <v>5000</v>
      </c>
      <c r="D11" s="15">
        <v>25000</v>
      </c>
      <c r="E11" t="s">
        <v>128</v>
      </c>
    </row>
    <row r="12" spans="1:5" x14ac:dyDescent="0.25">
      <c r="A12" t="s">
        <v>132</v>
      </c>
      <c r="B12" s="15">
        <v>500</v>
      </c>
      <c r="C12" s="15">
        <v>2500</v>
      </c>
      <c r="D12" s="15">
        <v>12000</v>
      </c>
      <c r="E12" t="s">
        <v>128</v>
      </c>
    </row>
    <row r="13" spans="1:5" x14ac:dyDescent="0.25">
      <c r="A13" t="s">
        <v>133</v>
      </c>
      <c r="B13" s="15">
        <v>1000</v>
      </c>
      <c r="C13" s="15">
        <v>4500</v>
      </c>
      <c r="D13" s="15">
        <v>22000</v>
      </c>
      <c r="E13" t="s">
        <v>134</v>
      </c>
    </row>
    <row r="14" spans="1:5" x14ac:dyDescent="0.25">
      <c r="A14" t="s">
        <v>135</v>
      </c>
      <c r="B14" s="15">
        <v>1500</v>
      </c>
      <c r="C14" s="15">
        <v>8000</v>
      </c>
      <c r="D14" s="15">
        <v>45000</v>
      </c>
      <c r="E14" t="s">
        <v>136</v>
      </c>
    </row>
    <row r="15" spans="1:5" x14ac:dyDescent="0.25">
      <c r="A15" t="s">
        <v>137</v>
      </c>
      <c r="B15" s="15">
        <v>200</v>
      </c>
      <c r="C15" s="15">
        <v>1000</v>
      </c>
      <c r="D15" s="15">
        <v>5000</v>
      </c>
      <c r="E15" t="s">
        <v>138</v>
      </c>
    </row>
    <row r="16" spans="1:5" x14ac:dyDescent="0.25">
      <c r="A16" t="s">
        <v>139</v>
      </c>
      <c r="B16" s="15">
        <v>2</v>
      </c>
      <c r="C16" s="15">
        <v>8</v>
      </c>
      <c r="D16" s="15">
        <v>30</v>
      </c>
      <c r="E16" t="s">
        <v>140</v>
      </c>
    </row>
    <row r="17" spans="1:5" x14ac:dyDescent="0.25">
      <c r="A17" t="s">
        <v>141</v>
      </c>
      <c r="B17" s="19">
        <v>0.5</v>
      </c>
      <c r="C17" s="19">
        <v>0.5</v>
      </c>
      <c r="D17" s="19">
        <v>0.5</v>
      </c>
      <c r="E17" t="s">
        <v>142</v>
      </c>
    </row>
    <row r="18" spans="1:5" x14ac:dyDescent="0.25">
      <c r="A18" t="s">
        <v>143</v>
      </c>
      <c r="B18" s="15">
        <v>50</v>
      </c>
      <c r="C18" s="15">
        <v>300</v>
      </c>
      <c r="D18" s="15">
        <v>1500</v>
      </c>
      <c r="E18" t="s">
        <v>144</v>
      </c>
    </row>
    <row r="19" spans="1:5" x14ac:dyDescent="0.25">
      <c r="A19" t="s">
        <v>145</v>
      </c>
      <c r="B19" s="15">
        <v>5</v>
      </c>
      <c r="C19" s="15">
        <v>30</v>
      </c>
      <c r="D19" s="15">
        <v>150</v>
      </c>
      <c r="E19" t="s">
        <v>146</v>
      </c>
    </row>
    <row r="20" spans="1:5" x14ac:dyDescent="0.25">
      <c r="A20" t="s">
        <v>147</v>
      </c>
      <c r="B20" s="15">
        <v>2000000</v>
      </c>
      <c r="C20" s="15">
        <v>12000000</v>
      </c>
      <c r="D20" s="15">
        <v>55000000</v>
      </c>
      <c r="E20" t="s">
        <v>136</v>
      </c>
    </row>
    <row r="21" spans="1:5" x14ac:dyDescent="0.25">
      <c r="A21" t="s">
        <v>148</v>
      </c>
      <c r="B21" s="15">
        <v>1000000</v>
      </c>
      <c r="C21" s="15">
        <v>6000000</v>
      </c>
      <c r="D21" s="15">
        <v>28000000</v>
      </c>
      <c r="E21" t="s">
        <v>149</v>
      </c>
    </row>
    <row r="22" spans="1:5" x14ac:dyDescent="0.25">
      <c r="A22" t="s">
        <v>150</v>
      </c>
      <c r="B22" s="15">
        <v>2000000</v>
      </c>
      <c r="C22" s="15">
        <v>12000000</v>
      </c>
      <c r="D22" s="15">
        <v>55000000</v>
      </c>
      <c r="E22" t="s">
        <v>149</v>
      </c>
    </row>
    <row r="23" spans="1:5" x14ac:dyDescent="0.25">
      <c r="A23" t="s">
        <v>151</v>
      </c>
      <c r="B23" s="15">
        <v>5</v>
      </c>
      <c r="C23" s="15">
        <v>25</v>
      </c>
      <c r="D23" s="15">
        <v>110</v>
      </c>
      <c r="E23" t="s">
        <v>144</v>
      </c>
    </row>
    <row r="24" spans="1:5" x14ac:dyDescent="0.25">
      <c r="A24" t="s">
        <v>152</v>
      </c>
      <c r="B24" s="15">
        <v>20</v>
      </c>
      <c r="C24" s="15">
        <v>120</v>
      </c>
      <c r="D24" s="15">
        <v>600</v>
      </c>
      <c r="E24" t="s">
        <v>144</v>
      </c>
    </row>
    <row r="25" spans="1:5" x14ac:dyDescent="0.25">
      <c r="A25" t="s">
        <v>153</v>
      </c>
      <c r="B25" s="6">
        <v>15</v>
      </c>
      <c r="C25" s="6">
        <v>40</v>
      </c>
      <c r="D25" s="6">
        <v>120</v>
      </c>
      <c r="E25" t="s">
        <v>33</v>
      </c>
    </row>
    <row r="27" spans="1:5" s="3" customFormat="1" x14ac:dyDescent="0.25">
      <c r="A27" s="3" t="s">
        <v>154</v>
      </c>
      <c r="B27" s="3"/>
      <c r="C27" s="3"/>
      <c r="D27" s="3"/>
      <c r="E27" s="3"/>
    </row>
  </sheetData>
  <mergeCells count="2">
    <mergeCell ref="A1:E1"/>
    <mergeCell ref="A27:E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6" customWidth="1"/>
    <col min="3" max="3" width="18" customWidth="1"/>
    <col min="4" max="4" width="46" customWidth="1"/>
  </cols>
  <sheetData>
    <row r="1" spans="1:4" s="1" customFormat="1" x14ac:dyDescent="0.25">
      <c r="A1" s="1" t="s">
        <v>155</v>
      </c>
      <c r="B1" s="1"/>
      <c r="C1" s="1"/>
      <c r="D1" s="1"/>
    </row>
    <row r="3" spans="1:4" x14ac:dyDescent="0.25">
      <c r="A3" s="4" t="s">
        <v>82</v>
      </c>
      <c r="B3" s="5" t="s">
        <v>156</v>
      </c>
      <c r="C3" s="5" t="s">
        <v>157</v>
      </c>
      <c r="D3" s="5" t="s">
        <v>158</v>
      </c>
    </row>
    <row r="4" spans="1:4" s="2" customFormat="1" x14ac:dyDescent="0.25">
      <c r="A4" s="20" t="s">
        <v>159</v>
      </c>
      <c r="B4" s="20"/>
      <c r="C4" s="20"/>
      <c r="D4" s="20"/>
    </row>
    <row r="5" spans="1:4" x14ac:dyDescent="0.25">
      <c r="A5" t="s">
        <v>160</v>
      </c>
      <c r="B5" s="21">
        <v>0.004</v>
      </c>
      <c r="C5" t="s">
        <v>161</v>
      </c>
      <c r="D5" t="s">
        <v>162</v>
      </c>
    </row>
    <row r="6" spans="1:4" x14ac:dyDescent="0.25">
      <c r="A6" t="s">
        <v>163</v>
      </c>
      <c r="B6" s="21">
        <v>0.05</v>
      </c>
      <c r="C6" t="s">
        <v>161</v>
      </c>
      <c r="D6" t="s">
        <v>162</v>
      </c>
    </row>
    <row r="7" spans="1:4" x14ac:dyDescent="0.25">
      <c r="A7" t="s">
        <v>164</v>
      </c>
      <c r="B7" s="21">
        <v>0.01</v>
      </c>
      <c r="C7" t="s">
        <v>161</v>
      </c>
      <c r="D7" t="s">
        <v>162</v>
      </c>
    </row>
    <row r="8" spans="1:4" x14ac:dyDescent="0.25">
      <c r="A8" t="s">
        <v>165</v>
      </c>
      <c r="B8" s="21">
        <v>0.005</v>
      </c>
      <c r="C8" t="s">
        <v>166</v>
      </c>
      <c r="D8" t="s">
        <v>162</v>
      </c>
    </row>
    <row r="9" spans="1:4" x14ac:dyDescent="0.25">
      <c r="A9" t="s">
        <v>167</v>
      </c>
      <c r="B9" s="21">
        <v>0.04</v>
      </c>
      <c r="C9" t="s">
        <v>168</v>
      </c>
      <c r="D9" t="s">
        <v>169</v>
      </c>
    </row>
    <row r="10" spans="1:4" s="2" customFormat="1" x14ac:dyDescent="0.25">
      <c r="A10" s="20" t="s">
        <v>170</v>
      </c>
      <c r="B10" s="20"/>
      <c r="C10" s="20"/>
      <c r="D10" s="20"/>
    </row>
    <row r="11" spans="1:4" x14ac:dyDescent="0.25">
      <c r="A11" t="s">
        <v>171</v>
      </c>
      <c r="B11" s="21">
        <v>0.018</v>
      </c>
      <c r="C11" t="s">
        <v>172</v>
      </c>
      <c r="D11" t="s">
        <v>173</v>
      </c>
    </row>
    <row r="12" spans="1:4" x14ac:dyDescent="0.25">
      <c r="A12" t="s">
        <v>174</v>
      </c>
      <c r="B12" s="21">
        <v>0.0075</v>
      </c>
      <c r="C12" t="s">
        <v>172</v>
      </c>
      <c r="D12" t="s">
        <v>175</v>
      </c>
    </row>
    <row r="13" spans="1:4" x14ac:dyDescent="0.25">
      <c r="A13" t="s">
        <v>176</v>
      </c>
      <c r="B13" s="21">
        <v>0.0067</v>
      </c>
      <c r="C13" t="s">
        <v>172</v>
      </c>
      <c r="D13" t="s">
        <v>177</v>
      </c>
    </row>
    <row r="14" spans="1:4" x14ac:dyDescent="0.25">
      <c r="A14" t="s">
        <v>178</v>
      </c>
      <c r="B14" s="21">
        <v>0.06</v>
      </c>
      <c r="C14" t="s">
        <v>179</v>
      </c>
      <c r="D14" t="s">
        <v>180</v>
      </c>
    </row>
    <row r="15" spans="1:4" x14ac:dyDescent="0.25">
      <c r="A15" t="s">
        <v>181</v>
      </c>
      <c r="B15" s="21">
        <v>0.0085</v>
      </c>
      <c r="C15" t="s">
        <v>166</v>
      </c>
      <c r="D15" t="s">
        <v>182</v>
      </c>
    </row>
    <row r="16" spans="1:4" s="2" customFormat="1" x14ac:dyDescent="0.25">
      <c r="A16" s="20" t="s">
        <v>183</v>
      </c>
      <c r="B16" s="20"/>
      <c r="C16" s="20"/>
      <c r="D16" s="20"/>
    </row>
    <row r="17" spans="1:4" x14ac:dyDescent="0.25">
      <c r="A17" t="s">
        <v>184</v>
      </c>
      <c r="B17" s="21">
        <v>0.015</v>
      </c>
      <c r="C17" t="s">
        <v>172</v>
      </c>
      <c r="D17" t="s">
        <v>162</v>
      </c>
    </row>
    <row r="18" spans="1:4" x14ac:dyDescent="0.25">
      <c r="A18" t="s">
        <v>185</v>
      </c>
      <c r="B18" s="21">
        <v>0.0015</v>
      </c>
      <c r="C18" t="s">
        <v>161</v>
      </c>
      <c r="D18" t="s">
        <v>186</v>
      </c>
    </row>
    <row r="19" spans="1:4" x14ac:dyDescent="0.25">
      <c r="A19" t="s">
        <v>187</v>
      </c>
      <c r="B19" s="21">
        <v>0.005</v>
      </c>
      <c r="C19" t="s">
        <v>188</v>
      </c>
      <c r="D19" t="s">
        <v>189</v>
      </c>
    </row>
    <row r="20" spans="1:4" x14ac:dyDescent="0.25">
      <c r="A20" t="s">
        <v>190</v>
      </c>
      <c r="B20" s="21">
        <v>0.008</v>
      </c>
      <c r="C20" t="s">
        <v>172</v>
      </c>
      <c r="D20" t="s">
        <v>191</v>
      </c>
    </row>
    <row r="21" spans="1:4" s="2" customFormat="1" x14ac:dyDescent="0.25">
      <c r="A21" s="20" t="s">
        <v>192</v>
      </c>
      <c r="B21" s="20"/>
      <c r="C21" s="20"/>
      <c r="D21" s="20"/>
    </row>
    <row r="22" spans="1:4" x14ac:dyDescent="0.25">
      <c r="A22" t="s">
        <v>193</v>
      </c>
      <c r="B22" s="21">
        <v>0.005</v>
      </c>
      <c r="C22" t="s">
        <v>161</v>
      </c>
      <c r="D22" t="s">
        <v>194</v>
      </c>
    </row>
    <row r="23" spans="1:4" x14ac:dyDescent="0.25">
      <c r="A23" t="s">
        <v>195</v>
      </c>
      <c r="B23" s="21">
        <v>0.02</v>
      </c>
      <c r="C23" t="s">
        <v>161</v>
      </c>
      <c r="D23" t="s">
        <v>196</v>
      </c>
    </row>
    <row r="24" spans="1:4" s="2" customFormat="1" x14ac:dyDescent="0.25">
      <c r="A24" s="20" t="s">
        <v>197</v>
      </c>
      <c r="B24" s="20"/>
      <c r="C24" s="20"/>
      <c r="D24" s="20"/>
    </row>
    <row r="25" spans="1:4" x14ac:dyDescent="0.25">
      <c r="A25" t="s">
        <v>198</v>
      </c>
      <c r="B25" s="21">
        <v>0.0008</v>
      </c>
      <c r="C25" t="s">
        <v>199</v>
      </c>
      <c r="D25" t="s">
        <v>200</v>
      </c>
    </row>
    <row r="26" spans="1:4" x14ac:dyDescent="0.25">
      <c r="A26" t="s">
        <v>201</v>
      </c>
      <c r="B26" s="21">
        <v>0.004</v>
      </c>
      <c r="C26" t="s">
        <v>199</v>
      </c>
      <c r="D26" t="s">
        <v>202</v>
      </c>
    </row>
    <row r="27" spans="1:4" x14ac:dyDescent="0.25">
      <c r="A27" t="s">
        <v>203</v>
      </c>
      <c r="B27" s="21">
        <v>0.003</v>
      </c>
      <c r="C27" t="s">
        <v>199</v>
      </c>
      <c r="D27" t="s">
        <v>204</v>
      </c>
    </row>
    <row r="28" spans="1:4" x14ac:dyDescent="0.25">
      <c r="A28" t="s">
        <v>205</v>
      </c>
      <c r="B28" s="21">
        <v>0.015</v>
      </c>
      <c r="C28" t="s">
        <v>199</v>
      </c>
      <c r="D28" t="s">
        <v>204</v>
      </c>
    </row>
    <row r="29" spans="1:4" s="2" customFormat="1" x14ac:dyDescent="0.25">
      <c r="A29" s="20" t="s">
        <v>206</v>
      </c>
      <c r="B29" s="20"/>
      <c r="C29" s="20"/>
      <c r="D29" s="20"/>
    </row>
    <row r="30" spans="1:4" x14ac:dyDescent="0.25">
      <c r="A30" t="s">
        <v>207</v>
      </c>
      <c r="B30" s="6">
        <v>0.2</v>
      </c>
      <c r="C30" t="s">
        <v>208</v>
      </c>
      <c r="D30" t="s">
        <v>209</v>
      </c>
    </row>
    <row r="31" spans="1:4" x14ac:dyDescent="0.25">
      <c r="A31" t="s">
        <v>210</v>
      </c>
      <c r="B31" s="22">
        <v>0.0000166667</v>
      </c>
      <c r="C31" t="s">
        <v>211</v>
      </c>
      <c r="D31" t="s">
        <v>212</v>
      </c>
    </row>
    <row r="32" spans="1:4" x14ac:dyDescent="0.25">
      <c r="A32" t="s">
        <v>213</v>
      </c>
      <c r="B32" s="21">
        <v>0.625</v>
      </c>
      <c r="C32" t="s">
        <v>214</v>
      </c>
      <c r="D32" t="s">
        <v>215</v>
      </c>
    </row>
    <row r="33" spans="1:4" x14ac:dyDescent="0.25">
      <c r="A33" t="s">
        <v>216</v>
      </c>
      <c r="B33" s="21">
        <v>0.125</v>
      </c>
      <c r="C33" t="s">
        <v>217</v>
      </c>
      <c r="D33" t="s">
        <v>215</v>
      </c>
    </row>
    <row r="34" spans="1:4" x14ac:dyDescent="0.25">
      <c r="A34" t="s">
        <v>218</v>
      </c>
      <c r="B34" s="21">
        <v>0.023</v>
      </c>
      <c r="C34" t="s">
        <v>219</v>
      </c>
      <c r="D34" t="s">
        <v>220</v>
      </c>
    </row>
    <row r="35" spans="1:4" x14ac:dyDescent="0.25">
      <c r="A35" t="s">
        <v>221</v>
      </c>
      <c r="B35" s="21">
        <v>0.005</v>
      </c>
      <c r="C35" t="s">
        <v>222</v>
      </c>
      <c r="D35" t="s">
        <v>220</v>
      </c>
    </row>
    <row r="36" spans="1:4" x14ac:dyDescent="0.25">
      <c r="A36" t="s">
        <v>223</v>
      </c>
      <c r="B36" s="21">
        <v>0.015</v>
      </c>
      <c r="C36" t="s">
        <v>224</v>
      </c>
      <c r="D36" t="s">
        <v>225</v>
      </c>
    </row>
    <row r="37" spans="1:4" x14ac:dyDescent="0.25">
      <c r="A37" t="s">
        <v>226</v>
      </c>
      <c r="B37" s="21">
        <v>0.4</v>
      </c>
      <c r="C37" t="s">
        <v>227</v>
      </c>
      <c r="D37" t="s">
        <v>228</v>
      </c>
    </row>
    <row r="38" spans="1:4" x14ac:dyDescent="0.25">
      <c r="A38" t="s">
        <v>229</v>
      </c>
      <c r="B38" s="21">
        <v>0.5</v>
      </c>
      <c r="C38" t="s">
        <v>230</v>
      </c>
      <c r="D38" t="s">
        <v>231</v>
      </c>
    </row>
    <row r="39" spans="1:4" x14ac:dyDescent="0.25">
      <c r="A39" t="s">
        <v>232</v>
      </c>
      <c r="B39" s="21">
        <v>0.09</v>
      </c>
      <c r="C39" t="s">
        <v>230</v>
      </c>
      <c r="D39" t="s">
        <v>233</v>
      </c>
    </row>
    <row r="40" spans="1:4" s="2" customFormat="1" x14ac:dyDescent="0.25">
      <c r="A40" s="20" t="s">
        <v>234</v>
      </c>
      <c r="B40" s="20"/>
      <c r="C40" s="20"/>
      <c r="D40" s="20"/>
    </row>
    <row r="41" spans="1:4" x14ac:dyDescent="0.25">
      <c r="A41" t="s">
        <v>235</v>
      </c>
      <c r="B41" s="6">
        <v>100</v>
      </c>
      <c r="C41" t="s">
        <v>236</v>
      </c>
      <c r="D41" t="s">
        <v>237</v>
      </c>
    </row>
    <row r="42" spans="1:4" s="2" customFormat="1" x14ac:dyDescent="0.25">
      <c r="A42" s="20" t="s">
        <v>238</v>
      </c>
      <c r="B42" s="20"/>
      <c r="C42" s="20"/>
      <c r="D42" s="20"/>
    </row>
    <row r="43" spans="1:4" x14ac:dyDescent="0.25">
      <c r="A43" t="s">
        <v>239</v>
      </c>
      <c r="B43" s="15">
        <v>5</v>
      </c>
      <c r="C43" t="s">
        <v>240</v>
      </c>
      <c r="D43" t="s">
        <v>1</v>
      </c>
    </row>
    <row r="44" spans="1:4" x14ac:dyDescent="0.25">
      <c r="A44" t="s">
        <v>241</v>
      </c>
      <c r="B44" s="15">
        <v>3</v>
      </c>
      <c r="C44" t="s">
        <v>240</v>
      </c>
      <c r="D44" t="s">
        <v>1</v>
      </c>
    </row>
    <row r="45" spans="1:4" x14ac:dyDescent="0.25">
      <c r="A45" t="s">
        <v>242</v>
      </c>
      <c r="B45" s="19">
        <v>0.3</v>
      </c>
      <c r="C45" t="s">
        <v>243</v>
      </c>
      <c r="D45" t="s">
        <v>1</v>
      </c>
    </row>
    <row r="46" spans="1:4" x14ac:dyDescent="0.25">
      <c r="A46" t="s">
        <v>244</v>
      </c>
      <c r="B46" s="15">
        <v>4</v>
      </c>
      <c r="C46" t="s">
        <v>245</v>
      </c>
      <c r="D46" t="s">
        <v>1</v>
      </c>
    </row>
    <row r="47" spans="1:4" x14ac:dyDescent="0.25">
      <c r="A47" t="s">
        <v>246</v>
      </c>
      <c r="B47" s="15">
        <v>1200</v>
      </c>
      <c r="C47" t="s">
        <v>247</v>
      </c>
      <c r="D47" t="s">
        <v>1</v>
      </c>
    </row>
    <row r="48" spans="1:4" x14ac:dyDescent="0.25">
      <c r="A48" t="s">
        <v>248</v>
      </c>
      <c r="B48" s="15">
        <v>350</v>
      </c>
      <c r="C48" t="s">
        <v>247</v>
      </c>
      <c r="D48" t="s">
        <v>1</v>
      </c>
    </row>
    <row r="49" spans="1:4" x14ac:dyDescent="0.25">
      <c r="A49" t="s">
        <v>249</v>
      </c>
      <c r="B49" s="15">
        <v>2500</v>
      </c>
      <c r="C49" t="s">
        <v>247</v>
      </c>
      <c r="D49" t="s">
        <v>1</v>
      </c>
    </row>
    <row r="50" spans="1:4" x14ac:dyDescent="0.25">
      <c r="A50" t="s">
        <v>250</v>
      </c>
      <c r="B50" s="15">
        <v>250</v>
      </c>
      <c r="C50" t="s">
        <v>247</v>
      </c>
      <c r="D50" t="s">
        <v>1</v>
      </c>
    </row>
    <row r="51" spans="1:4" x14ac:dyDescent="0.25">
      <c r="A51" t="s">
        <v>251</v>
      </c>
      <c r="B51" s="23">
        <v>0.075</v>
      </c>
      <c r="C51" t="s">
        <v>252</v>
      </c>
      <c r="D51" t="s">
        <v>1</v>
      </c>
    </row>
    <row r="52" spans="1:4" x14ac:dyDescent="0.25">
      <c r="A52" t="s">
        <v>253</v>
      </c>
      <c r="B52" s="19">
        <v>0.3</v>
      </c>
      <c r="C52" t="s">
        <v>243</v>
      </c>
      <c r="D52" t="s">
        <v>1</v>
      </c>
    </row>
    <row r="53" spans="1:4" x14ac:dyDescent="0.25">
      <c r="A53" t="s">
        <v>254</v>
      </c>
      <c r="B53" s="15">
        <v>4</v>
      </c>
      <c r="C53" t="s">
        <v>255</v>
      </c>
      <c r="D53" t="s">
        <v>1</v>
      </c>
    </row>
  </sheetData>
  <mergeCells count="9">
    <mergeCell ref="A1:D1"/>
    <mergeCell ref="A4:D4"/>
    <mergeCell ref="A10:D10"/>
    <mergeCell ref="A16:D16"/>
    <mergeCell ref="A21:D21"/>
    <mergeCell ref="A24:D24"/>
    <mergeCell ref="A29:D29"/>
    <mergeCell ref="A40:D40"/>
    <mergeCell ref="A42:D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4" width="16" customWidth="1"/>
    <col min="5" max="5" width="34" customWidth="1"/>
  </cols>
  <sheetData>
    <row r="1" spans="1:5" s="1" customFormat="1" x14ac:dyDescent="0.25">
      <c r="A1" s="1" t="s">
        <v>256</v>
      </c>
      <c r="B1" s="1"/>
      <c r="C1" s="1"/>
      <c r="D1" s="1"/>
      <c r="E1" s="1"/>
    </row>
    <row r="3" spans="1:5" x14ac:dyDescent="0.25">
      <c r="A3" s="4" t="s">
        <v>82</v>
      </c>
      <c r="B3" s="5" t="s">
        <v>114</v>
      </c>
      <c r="C3" s="5" t="s">
        <v>115</v>
      </c>
      <c r="D3" s="5" t="s">
        <v>116</v>
      </c>
      <c r="E3" s="5" t="s">
        <v>257</v>
      </c>
    </row>
    <row r="4" spans="1:5" x14ac:dyDescent="0.25">
      <c r="A4" t="s">
        <v>258</v>
      </c>
      <c r="B4" s="16">
        <f>Parametros!B6*Precios!B43*Precios!B11</f>
      </c>
      <c r="C4" s="16">
        <f>Parametros!C6*Precios!B43*Precios!B11</f>
      </c>
      <c r="D4" s="16">
        <f>Parametros!D6*Precios!B43*Precios!B11</f>
      </c>
      <c r="E4" s="8" t="s">
        <v>259</v>
      </c>
    </row>
    <row r="5" spans="1:5" x14ac:dyDescent="0.25">
      <c r="A5" t="s">
        <v>260</v>
      </c>
      <c r="B5" s="16">
        <f>Parametros!B6*Precios!B43*Precios!B12</f>
      </c>
      <c r="C5" s="16">
        <f>Parametros!C6*Precios!B43*Precios!B12</f>
      </c>
      <c r="D5" s="16">
        <f>Parametros!D6*Precios!B43*Precios!B12</f>
      </c>
      <c r="E5" s="8" t="s">
        <v>259</v>
      </c>
    </row>
    <row r="6" spans="1:5" x14ac:dyDescent="0.25">
      <c r="A6" t="s">
        <v>261</v>
      </c>
      <c r="B6" s="16">
        <f>Parametros!B7*Precios!B44*Precios!B11</f>
      </c>
      <c r="C6" s="16">
        <f>Parametros!C7*Precios!B44*Precios!B11</f>
      </c>
      <c r="D6" s="16">
        <f>Parametros!D7*Precios!B44*Precios!B11</f>
      </c>
      <c r="E6" s="8" t="s">
        <v>259</v>
      </c>
    </row>
    <row r="7" spans="1:5" x14ac:dyDescent="0.25">
      <c r="A7" t="s">
        <v>262</v>
      </c>
      <c r="B7" s="16">
        <f>Parametros!B7*Precios!B44*Precios!B13</f>
      </c>
      <c r="C7" s="16">
        <f>Parametros!C7*Precios!B44*Precios!B13</f>
      </c>
      <c r="D7" s="16">
        <f>Parametros!D7*Precios!B44*Precios!B13</f>
      </c>
      <c r="E7" s="8" t="s">
        <v>259</v>
      </c>
    </row>
    <row r="8" spans="1:5" x14ac:dyDescent="0.25">
      <c r="A8" t="s">
        <v>263</v>
      </c>
      <c r="B8" s="16">
        <f>Parametros!B7*Precios!B8</f>
      </c>
      <c r="C8" s="16">
        <f>Parametros!C7*Precios!B8</f>
      </c>
      <c r="D8" s="16">
        <f>Parametros!D7*Precios!B8</f>
      </c>
      <c r="E8" s="8" t="s">
        <v>264</v>
      </c>
    </row>
    <row r="9" spans="1:5" x14ac:dyDescent="0.25">
      <c r="A9" t="s">
        <v>265</v>
      </c>
      <c r="B9" s="16">
        <f>Parametros!B7*Precios!B15</f>
      </c>
      <c r="C9" s="16">
        <f>Parametros!C7*Precios!B15</f>
      </c>
      <c r="D9" s="16">
        <f>Parametros!D7*Precios!B15</f>
      </c>
      <c r="E9" s="8" t="s">
        <v>266</v>
      </c>
    </row>
    <row r="10" spans="1:5" x14ac:dyDescent="0.25">
      <c r="A10" t="s">
        <v>267</v>
      </c>
      <c r="B10" s="16">
        <f>(Parametros!B6*Precios!B43+Parametros!B7*Precios!B44)*Parametros!B17*Precios!B17</f>
      </c>
      <c r="C10" s="16">
        <f>(Parametros!C6*Precios!B43+Parametros!C7*Precios!B44)*Parametros!C17*Precios!B17</f>
      </c>
      <c r="D10" s="16">
        <f>(Parametros!D6*Precios!B43+Parametros!D7*Precios!B44)*Parametros!D17*Precios!B17</f>
      </c>
      <c r="E10" s="8" t="s">
        <v>268</v>
      </c>
    </row>
    <row r="11" spans="1:5" x14ac:dyDescent="0.25">
      <c r="A11" t="s">
        <v>269</v>
      </c>
      <c r="B11" s="16">
        <f>Parametros!B11*Parametros!B17*Precios!B18</f>
      </c>
      <c r="C11" s="16">
        <f>Parametros!C11*Parametros!C17*Precios!B18</f>
      </c>
      <c r="D11" s="16">
        <f>Parametros!D11*Parametros!D17*Precios!B18</f>
      </c>
      <c r="E11" s="8" t="s">
        <v>270</v>
      </c>
    </row>
    <row r="12" spans="1:5" x14ac:dyDescent="0.25">
      <c r="A12" t="s">
        <v>187</v>
      </c>
      <c r="B12" s="16">
        <f>(Parametros!B6+Parametros!B7+Parametros!B11+Parametros!B12)*Precios!B19</f>
      </c>
      <c r="C12" s="16">
        <f>(Parametros!C6+Parametros!C7+Parametros!C11+Parametros!C12)*Precios!B19</f>
      </c>
      <c r="D12" s="16">
        <f>(Parametros!D6+Parametros!D7+Parametros!D11+Parametros!D12)*Precios!B19</f>
      </c>
      <c r="E12" s="8" t="s">
        <v>271</v>
      </c>
    </row>
    <row r="13" spans="1:5" x14ac:dyDescent="0.25">
      <c r="A13" t="s">
        <v>272</v>
      </c>
      <c r="B13" s="16">
        <f>(Parametros!B6*Precios!B43+Parametros!B7*Precios!B44)*Precios!B45*Precios!B20</f>
      </c>
      <c r="C13" s="16">
        <f>(Parametros!C6*Precios!B43+Parametros!C7*Precios!B44)*Precios!B45*Precios!B20</f>
      </c>
      <c r="D13" s="16">
        <f>(Parametros!D6*Precios!B43+Parametros!D7*Precios!B44)*Precios!B45*Precios!B20</f>
      </c>
      <c r="E13" s="8" t="s">
        <v>273</v>
      </c>
    </row>
    <row r="14" spans="1:5" x14ac:dyDescent="0.25">
      <c r="A14" t="s">
        <v>274</v>
      </c>
      <c r="B14" s="16">
        <f>Parametros!B8*Precios!B14*Parametros!B5</f>
      </c>
      <c r="C14" s="16">
        <f>Parametros!C8*Precios!B14*Parametros!C5</f>
      </c>
      <c r="D14" s="16">
        <f>Parametros!D8*Precios!B14*Parametros!D5</f>
      </c>
      <c r="E14" s="8" t="s">
        <v>275</v>
      </c>
    </row>
    <row r="15" spans="1:5" x14ac:dyDescent="0.25">
      <c r="A15" t="s">
        <v>276</v>
      </c>
      <c r="B15" s="16">
        <f>Parametros!B9*Precios!B7</f>
      </c>
      <c r="C15" s="16">
        <f>Parametros!C9*Precios!B7</f>
      </c>
      <c r="D15" s="16">
        <f>Parametros!D9*Precios!B7</f>
      </c>
      <c r="E15" s="8" t="s">
        <v>277</v>
      </c>
    </row>
    <row r="16" spans="1:5" x14ac:dyDescent="0.25">
      <c r="A16" t="s">
        <v>278</v>
      </c>
      <c r="B16" s="16">
        <f>Parametros!B9*Precios!B22</f>
      </c>
      <c r="C16" s="16">
        <f>Parametros!C9*Precios!B22</f>
      </c>
      <c r="D16" s="16">
        <f>Parametros!D9*Precios!B22</f>
      </c>
      <c r="E16" s="8" t="s">
        <v>279</v>
      </c>
    </row>
    <row r="17" spans="1:5" x14ac:dyDescent="0.25">
      <c r="A17" t="s">
        <v>280</v>
      </c>
      <c r="B17" s="16">
        <f>Parametros!B10*Precios!B23</f>
      </c>
      <c r="C17" s="16">
        <f>Parametros!C10*Precios!B23</f>
      </c>
      <c r="D17" s="16">
        <f>Parametros!D10*Precios!B23</f>
      </c>
      <c r="E17" s="8" t="s">
        <v>281</v>
      </c>
    </row>
    <row r="18" spans="1:5" x14ac:dyDescent="0.25">
      <c r="A18" t="s">
        <v>282</v>
      </c>
      <c r="B18" s="16">
        <f>Parametros!B11*Precios!B5</f>
      </c>
      <c r="C18" s="16">
        <f>Parametros!C11*Precios!B5</f>
      </c>
      <c r="D18" s="16">
        <f>Parametros!D11*Precios!B5</f>
      </c>
      <c r="E18" s="8" t="s">
        <v>277</v>
      </c>
    </row>
    <row r="19" spans="1:5" x14ac:dyDescent="0.25">
      <c r="A19" t="s">
        <v>283</v>
      </c>
      <c r="B19" s="16">
        <f>Parametros!B12*Precios!B6</f>
      </c>
      <c r="C19" s="16">
        <f>Parametros!C12*Precios!B6</f>
      </c>
      <c r="D19" s="16">
        <f>Parametros!D12*Precios!B6</f>
      </c>
      <c r="E19" s="8" t="s">
        <v>277</v>
      </c>
    </row>
    <row r="20" spans="1:5" x14ac:dyDescent="0.25">
      <c r="A20" t="s">
        <v>284</v>
      </c>
      <c r="B20" s="16">
        <f>Parametros!B15*Precios!B9</f>
      </c>
      <c r="C20" s="16">
        <f>Parametros!C15*Precios!B9</f>
      </c>
      <c r="D20" s="16">
        <f>Parametros!D15*Precios!B9</f>
      </c>
      <c r="E20" s="8" t="s">
        <v>285</v>
      </c>
    </row>
    <row r="21" spans="1:5" x14ac:dyDescent="0.25">
      <c r="A21" t="s">
        <v>286</v>
      </c>
      <c r="B21" s="16">
        <f>Parametros!B13*Precios!B46*(Precios!B47/1000*Precios!B25+Precios!B48/1000*Precios!B26)</f>
      </c>
      <c r="C21" s="16">
        <f>Parametros!C13*Precios!B46*(Precios!B47/1000*Precios!B25+Precios!B48/1000*Precios!B26)</f>
      </c>
      <c r="D21" s="16">
        <f>Parametros!D13*Precios!B46*(Precios!B47/1000*Precios!B25+Precios!B48/1000*Precios!B26)</f>
      </c>
      <c r="E21" s="8" t="s">
        <v>287</v>
      </c>
    </row>
    <row r="22" spans="1:5" x14ac:dyDescent="0.25">
      <c r="A22" t="s">
        <v>288</v>
      </c>
      <c r="B22" s="16">
        <f>Parametros!B14*(Precios!B49/1000*Precios!B25+Precios!B50/1000*Precios!B26)</f>
      </c>
      <c r="C22" s="16">
        <f>Parametros!C14*(Precios!B49/1000*Precios!B25+Precios!B50/1000*Precios!B26)</f>
      </c>
      <c r="D22" s="16">
        <f>Parametros!D14*(Precios!B49/1000*Precios!B25+Precios!B50/1000*Precios!B26)</f>
      </c>
      <c r="E22" s="8" t="s">
        <v>289</v>
      </c>
    </row>
    <row r="23" spans="1:5" x14ac:dyDescent="0.25">
      <c r="A23" t="s">
        <v>290</v>
      </c>
      <c r="B23" s="16">
        <f>Parametros!B22*Precios!B52/1000000*Precios!B32+Parametros!B22*(1-Precios!B52)/1000000*Precios!B33</f>
      </c>
      <c r="C23" s="16">
        <f>Parametros!C22*Precios!B52/1000000*Precios!B32+Parametros!C22*(1-Precios!B52)/1000000*Precios!B33</f>
      </c>
      <c r="D23" s="16">
        <f>Parametros!D22*Precios!B52/1000000*Precios!B32+Parametros!D22*(1-Precios!B52)/1000000*Precios!B33</f>
      </c>
      <c r="E23" s="8" t="s">
        <v>291</v>
      </c>
    </row>
    <row r="24" spans="1:5" x14ac:dyDescent="0.25">
      <c r="A24" t="s">
        <v>292</v>
      </c>
      <c r="B24" s="16">
        <f>Parametros!B18*Precios!B34+(Parametros!B6+Parametros!B7)/1000*Precios!B35</f>
      </c>
      <c r="C24" s="16">
        <f>Parametros!C18*Precios!B34+(Parametros!C6+Parametros!C7)/1000*Precios!B35</f>
      </c>
      <c r="D24" s="16">
        <f>Parametros!D18*Precios!B34+(Parametros!D6+Parametros!D7)/1000*Precios!B35</f>
      </c>
      <c r="E24" s="8" t="s">
        <v>293</v>
      </c>
    </row>
    <row r="25" spans="1:5" x14ac:dyDescent="0.25">
      <c r="A25" t="s">
        <v>294</v>
      </c>
      <c r="B25" s="16">
        <f>Parametros!B19*Precios!B39</f>
      </c>
      <c r="C25" s="16">
        <f>Parametros!C19*Precios!B39</f>
      </c>
      <c r="D25" s="16">
        <f>Parametros!D19*Precios!B39</f>
      </c>
      <c r="E25" s="8" t="s">
        <v>295</v>
      </c>
    </row>
    <row r="26" spans="1:4" s="2" customFormat="1" x14ac:dyDescent="0.25">
      <c r="A26" s="2" t="s">
        <v>296</v>
      </c>
      <c r="B26" s="11">
        <f>SUM(B4:B25)</f>
      </c>
      <c r="C26" s="11">
        <f>SUM(C4:C25)</f>
      </c>
      <c r="D26" s="11">
        <f>SUM(D4:D25)</f>
      </c>
    </row>
    <row r="27" spans="1:4" x14ac:dyDescent="0.25">
      <c r="A27" t="s">
        <v>297</v>
      </c>
      <c r="B27" s="16">
        <f>B26/Parametros!B4</f>
      </c>
      <c r="C27" s="16">
        <f>C26/Parametros!C4</f>
      </c>
      <c r="D27" s="16">
        <f>D26/Parametros!D4</f>
      </c>
    </row>
    <row r="29" spans="1:5" s="2" customFormat="1" x14ac:dyDescent="0.25">
      <c r="A29" s="24" t="s">
        <v>298</v>
      </c>
      <c r="B29" s="24"/>
      <c r="C29" s="24"/>
      <c r="D29" s="24"/>
      <c r="E29" s="24"/>
    </row>
    <row r="30" spans="1:5" x14ac:dyDescent="0.25">
      <c r="A30" t="s">
        <v>299</v>
      </c>
      <c r="B30" s="16">
        <f>Parametros!B16*Precios!B41</f>
      </c>
      <c r="C30" s="16">
        <f>Parametros!C16*Precios!B41</f>
      </c>
      <c r="D30" s="16">
        <f>Parametros!D16*Precios!B41</f>
      </c>
      <c r="E30" s="8" t="s">
        <v>300</v>
      </c>
    </row>
    <row r="31" spans="1:4" x14ac:dyDescent="0.25">
      <c r="A31" t="s">
        <v>301</v>
      </c>
      <c r="B31" s="9">
        <f>SUM(B30:B30)</f>
      </c>
      <c r="C31" s="9">
        <f>SUM(C30:C30)</f>
      </c>
      <c r="D31" s="9">
        <f>SUM(D30:D30)</f>
      </c>
    </row>
    <row r="32" spans="1:4" s="2" customFormat="1" x14ac:dyDescent="0.25">
      <c r="A32" s="2" t="s">
        <v>302</v>
      </c>
      <c r="B32" s="11">
        <f>B26+B31</f>
      </c>
      <c r="C32" s="11">
        <f>C26+C31</f>
      </c>
      <c r="D32" s="11">
        <f>D26+D31</f>
      </c>
    </row>
  </sheetData>
  <mergeCells count="2">
    <mergeCell ref="A1:E1"/>
    <mergeCell ref="A29:E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4" width="16" customWidth="1"/>
    <col min="5" max="5" width="34" customWidth="1"/>
  </cols>
  <sheetData>
    <row r="1" spans="1:5" s="1" customFormat="1" x14ac:dyDescent="0.25">
      <c r="A1" s="1" t="s">
        <v>303</v>
      </c>
      <c r="B1" s="1"/>
      <c r="C1" s="1"/>
      <c r="D1" s="1"/>
      <c r="E1" s="1"/>
    </row>
    <row r="3" spans="1:5" x14ac:dyDescent="0.25">
      <c r="A3" s="4" t="s">
        <v>82</v>
      </c>
      <c r="B3" s="5" t="s">
        <v>114</v>
      </c>
      <c r="C3" s="5" t="s">
        <v>115</v>
      </c>
      <c r="D3" s="5" t="s">
        <v>116</v>
      </c>
      <c r="E3" s="5" t="s">
        <v>257</v>
      </c>
    </row>
    <row r="4" spans="1:5" x14ac:dyDescent="0.25">
      <c r="A4" t="s">
        <v>207</v>
      </c>
      <c r="B4" s="16">
        <f>Parametros!B20/1000000*Precios!B30</f>
      </c>
      <c r="C4" s="16">
        <f>Parametros!C20/1000000*Precios!B30</f>
      </c>
      <c r="D4" s="16">
        <f>Parametros!D20/1000000*Precios!B30</f>
      </c>
      <c r="E4" s="8" t="s">
        <v>304</v>
      </c>
    </row>
    <row r="5" spans="1:5" x14ac:dyDescent="0.25">
      <c r="A5" t="s">
        <v>210</v>
      </c>
      <c r="B5" s="16">
        <f>Parametros!B20*Precios!B51*Precios!B31</f>
      </c>
      <c r="C5" s="16">
        <f>Parametros!C20*Precios!B51*Precios!B31</f>
      </c>
      <c r="D5" s="16">
        <f>Parametros!D20*Precios!B51*Precios!B31</f>
      </c>
      <c r="E5" s="8" t="s">
        <v>305</v>
      </c>
    </row>
    <row r="6" spans="1:5" x14ac:dyDescent="0.25">
      <c r="A6" t="s">
        <v>306</v>
      </c>
      <c r="B6" s="16">
        <f>Parametros!B21*Precios!B52/1000000*Precios!B32+Parametros!B21*(1-Precios!B52)/1000000*Precios!B33</f>
      </c>
      <c r="C6" s="16">
        <f>Parametros!C21*Precios!B52/1000000*Precios!B32+Parametros!C21*(1-Precios!B52)/1000000*Precios!B33</f>
      </c>
      <c r="D6" s="16">
        <f>Parametros!D21*Precios!B52/1000000*Precios!B32+Parametros!D21*(1-Precios!B52)/1000000*Precios!B33</f>
      </c>
      <c r="E6" s="8" t="s">
        <v>291</v>
      </c>
    </row>
    <row r="7" spans="1:5" x14ac:dyDescent="0.25">
      <c r="A7" t="s">
        <v>307</v>
      </c>
      <c r="B7" s="16">
        <f>Parametros!B4*Precios!B36</f>
      </c>
      <c r="C7" s="16">
        <f>Parametros!C4*Precios!B36</f>
      </c>
      <c r="D7" s="16">
        <f>Parametros!D4*Precios!B36</f>
      </c>
      <c r="E7" s="8" t="s">
        <v>308</v>
      </c>
    </row>
    <row r="8" spans="1:5" x14ac:dyDescent="0.25">
      <c r="A8" t="s">
        <v>63</v>
      </c>
      <c r="B8" s="16">
        <f>Precios!B53*Precios!B37</f>
      </c>
      <c r="C8" s="16">
        <f>Precios!B53*Precios!B37</f>
      </c>
      <c r="D8" s="16">
        <f>Precios!B53*Precios!B37</f>
      </c>
      <c r="E8" s="8" t="s">
        <v>309</v>
      </c>
    </row>
    <row r="9" spans="1:5" x14ac:dyDescent="0.25">
      <c r="A9" t="s">
        <v>310</v>
      </c>
      <c r="B9" s="16">
        <f>Parametros!B23*Precios!B38</f>
      </c>
      <c r="C9" s="16">
        <f>Parametros!C23*Precios!B38</f>
      </c>
      <c r="D9" s="16">
        <f>Parametros!D23*Precios!B38</f>
      </c>
      <c r="E9" s="8" t="s">
        <v>311</v>
      </c>
    </row>
    <row r="10" spans="1:5" x14ac:dyDescent="0.25">
      <c r="A10" t="s">
        <v>312</v>
      </c>
      <c r="B10" s="16">
        <f>Parametros!B25</f>
      </c>
      <c r="C10" s="16">
        <f>Parametros!C25</f>
      </c>
      <c r="D10" s="16">
        <f>Parametros!D25</f>
      </c>
      <c r="E10" s="8" t="s">
        <v>313</v>
      </c>
    </row>
    <row r="11" spans="1:5" x14ac:dyDescent="0.25">
      <c r="A11" t="s">
        <v>314</v>
      </c>
      <c r="B11" s="16">
        <f>Parametros!B24*Precios!B39</f>
      </c>
      <c r="C11" s="16">
        <f>Parametros!C24*Precios!B39</f>
      </c>
      <c r="D11" s="16">
        <f>Parametros!D24*Precios!B39</f>
      </c>
      <c r="E11" s="8" t="s">
        <v>311</v>
      </c>
    </row>
    <row r="12" spans="1:4" s="2" customFormat="1" x14ac:dyDescent="0.25">
      <c r="A12" s="2" t="s">
        <v>315</v>
      </c>
      <c r="B12" s="11">
        <f>SUM(B4:B11)</f>
      </c>
      <c r="C12" s="11">
        <f>SUM(C4:C11)</f>
      </c>
      <c r="D12" s="11">
        <f>SUM(D4:D11)</f>
      </c>
    </row>
    <row r="13" spans="1:4" x14ac:dyDescent="0.25">
      <c r="A13" t="s">
        <v>297</v>
      </c>
      <c r="B13" s="16">
        <f>B12/Parametros!B4</f>
      </c>
      <c r="C13" s="16">
        <f>C12/Parametros!C4</f>
      </c>
      <c r="D13" s="16">
        <f>D12/Parametros!D4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4" width="16" customWidth="1"/>
    <col min="5" max="5" width="26" customWidth="1"/>
  </cols>
  <sheetData>
    <row r="1" spans="1:5" s="1" customFormat="1" x14ac:dyDescent="0.25">
      <c r="A1" s="1" t="s">
        <v>316</v>
      </c>
      <c r="B1" s="1"/>
      <c r="C1" s="1"/>
      <c r="D1" s="1"/>
      <c r="E1" s="1"/>
    </row>
    <row r="3" spans="1:5" x14ac:dyDescent="0.25">
      <c r="A3" s="4" t="s">
        <v>82</v>
      </c>
      <c r="B3" s="5" t="s">
        <v>114</v>
      </c>
      <c r="C3" s="5" t="s">
        <v>115</v>
      </c>
      <c r="D3" s="5" t="s">
        <v>116</v>
      </c>
      <c r="E3" s="5" t="s">
        <v>85</v>
      </c>
    </row>
    <row r="4" spans="1:5" x14ac:dyDescent="0.25">
      <c r="A4" t="s">
        <v>317</v>
      </c>
      <c r="B4" s="16">
        <f>CostoCliente!B26</f>
      </c>
      <c r="C4" s="16">
        <f>CostoCliente!C26</f>
      </c>
      <c r="D4" s="16">
        <f>CostoCliente!D26</f>
      </c>
      <c r="E4" t="s">
        <v>1</v>
      </c>
    </row>
    <row r="5" spans="1:5" x14ac:dyDescent="0.25">
      <c r="A5" t="s">
        <v>318</v>
      </c>
      <c r="B5" s="16">
        <f>B4/Parametros!B4</f>
      </c>
      <c r="C5" s="16">
        <f>C4/Parametros!C4</f>
      </c>
      <c r="D5" s="16">
        <f>D4/Parametros!D4</f>
      </c>
      <c r="E5" t="s">
        <v>1</v>
      </c>
    </row>
    <row r="6" spans="1:5" x14ac:dyDescent="0.25">
      <c r="A6" t="s">
        <v>319</v>
      </c>
      <c r="B6" s="9">
        <f>CostoCliente!B31</f>
      </c>
      <c r="C6" s="9">
        <f>CostoCliente!C31</f>
      </c>
      <c r="D6" s="9">
        <f>CostoCliente!D31</f>
      </c>
      <c r="E6" t="s">
        <v>1</v>
      </c>
    </row>
    <row r="7" spans="1:5" x14ac:dyDescent="0.25">
      <c r="A7" t="s">
        <v>320</v>
      </c>
      <c r="B7" s="16">
        <f>CostoARIA!B12</f>
      </c>
      <c r="C7" s="16">
        <f>CostoARIA!C12</f>
      </c>
      <c r="D7" s="16">
        <f>CostoARIA!D12</f>
      </c>
      <c r="E7" t="s">
        <v>1</v>
      </c>
    </row>
    <row r="8" spans="1:5" x14ac:dyDescent="0.25">
      <c r="A8" t="s">
        <v>318</v>
      </c>
      <c r="B8" s="16">
        <f>B7/Parametros!B4</f>
      </c>
      <c r="C8" s="16">
        <f>C7/Parametros!C4</f>
      </c>
      <c r="D8" s="16">
        <f>D7/Parametros!D4</f>
      </c>
      <c r="E8" t="s">
        <v>1</v>
      </c>
    </row>
    <row r="10" spans="1:5" x14ac:dyDescent="0.25">
      <c r="A10" t="s">
        <v>321</v>
      </c>
      <c r="B10" s="6">
        <v>12</v>
      </c>
      <c r="C10" s="6">
        <v>8</v>
      </c>
      <c r="D10" s="6">
        <v>6</v>
      </c>
      <c r="E10" s="8" t="s">
        <v>322</v>
      </c>
    </row>
    <row r="11" spans="1:5" x14ac:dyDescent="0.25">
      <c r="A11" t="s">
        <v>323</v>
      </c>
      <c r="B11" s="6">
        <f>B8+B10</f>
      </c>
      <c r="C11" s="6">
        <f>C8+C10</f>
      </c>
      <c r="D11" s="6">
        <f>D8+D10</f>
      </c>
      <c r="E11" t="s">
        <v>1</v>
      </c>
    </row>
    <row r="13" spans="1:5" x14ac:dyDescent="0.25">
      <c r="A13" t="s">
        <v>324</v>
      </c>
      <c r="B13" s="6">
        <v>45</v>
      </c>
      <c r="C13" s="6">
        <v>39</v>
      </c>
      <c r="D13" s="6">
        <v>29</v>
      </c>
      <c r="E13" s="8" t="s">
        <v>325</v>
      </c>
    </row>
    <row r="14" spans="1:5" x14ac:dyDescent="0.25">
      <c r="A14" t="s">
        <v>326</v>
      </c>
      <c r="B14" s="16">
        <f>B13*Parametros!B4</f>
      </c>
      <c r="C14" s="16">
        <f>C13*Parametros!C4</f>
      </c>
      <c r="D14" s="16">
        <f>D13*Parametros!D4</f>
      </c>
      <c r="E14" t="s">
        <v>1</v>
      </c>
    </row>
    <row r="15" spans="1:5" x14ac:dyDescent="0.25">
      <c r="A15" t="s">
        <v>327</v>
      </c>
      <c r="B15" s="25">
        <f>(B13-B11)/B13</f>
      </c>
      <c r="C15" s="25">
        <f>(C13-C11)/C13</f>
      </c>
      <c r="D15" s="25">
        <f>(D13-D11)/D13</f>
      </c>
      <c r="E15" s="8" t="s">
        <v>328</v>
      </c>
    </row>
    <row r="16" spans="1:5" x14ac:dyDescent="0.25">
      <c r="A16" t="s">
        <v>329</v>
      </c>
      <c r="B16" s="7">
        <f>(B14-B7)/B14</f>
      </c>
      <c r="C16" s="7">
        <f>(C14-C7)/C14</f>
      </c>
      <c r="D16" s="7">
        <f>(D14-D7)/D14</f>
      </c>
      <c r="E16" s="8" t="s">
        <v>330</v>
      </c>
    </row>
    <row r="17" spans="1:5" x14ac:dyDescent="0.25">
      <c r="A17" t="s">
        <v>331</v>
      </c>
      <c r="B17" s="26">
        <f>(B13-B11)*Parametros!B4</f>
      </c>
      <c r="C17" s="26">
        <f>(C13-C11)*Parametros!C4</f>
      </c>
      <c r="D17" s="26">
        <f>(D13-D11)*Parametros!D4</f>
      </c>
      <c r="E17" t="s">
        <v>1</v>
      </c>
    </row>
    <row r="19" spans="1:5" x14ac:dyDescent="0.25">
      <c r="A19" t="s">
        <v>332</v>
      </c>
      <c r="B19" s="26">
        <f>B4+B14</f>
      </c>
      <c r="C19" s="26">
        <f>C4+C14</f>
      </c>
      <c r="D19" s="26">
        <f>D4+D14</f>
      </c>
      <c r="E19" t="s">
        <v>1</v>
      </c>
    </row>
    <row r="20" spans="1:5" x14ac:dyDescent="0.25">
      <c r="A20" t="s">
        <v>318</v>
      </c>
      <c r="B20" s="16">
        <f>B19/Parametros!B4</f>
      </c>
      <c r="C20" s="16">
        <f>C19/Parametros!C4</f>
      </c>
      <c r="D20" s="16">
        <f>D19/Parametros!D4</f>
      </c>
      <c r="E20" t="s">
        <v>1</v>
      </c>
    </row>
    <row r="22" spans="1:5" s="3" customFormat="1" x14ac:dyDescent="0.25">
      <c r="A22" s="3" t="s">
        <v>333</v>
      </c>
      <c r="B22" s="3"/>
      <c r="C22" s="3"/>
      <c r="D22" s="3"/>
      <c r="E22" s="3"/>
    </row>
  </sheetData>
  <mergeCells count="2">
    <mergeCell ref="A1:E1"/>
    <mergeCell ref="A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4" width="14" customWidth="1"/>
    <col min="5" max="5" width="36" customWidth="1"/>
  </cols>
  <sheetData>
    <row r="1" spans="1:5" s="1" customFormat="1" x14ac:dyDescent="0.25">
      <c r="A1" s="1" t="s">
        <v>334</v>
      </c>
      <c r="B1" s="1"/>
      <c r="C1" s="1"/>
      <c r="D1" s="1"/>
      <c r="E1" s="1"/>
    </row>
    <row r="3" spans="1:5" x14ac:dyDescent="0.25">
      <c r="A3" s="4" t="s">
        <v>82</v>
      </c>
      <c r="B3" s="5" t="s">
        <v>114</v>
      </c>
      <c r="C3" s="5" t="s">
        <v>115</v>
      </c>
      <c r="D3" s="5" t="s">
        <v>116</v>
      </c>
      <c r="E3" s="5" t="s">
        <v>85</v>
      </c>
    </row>
    <row r="4" spans="1:5" s="2" customFormat="1" x14ac:dyDescent="0.25">
      <c r="A4" s="20" t="s">
        <v>335</v>
      </c>
      <c r="B4" s="20"/>
      <c r="C4" s="20"/>
      <c r="D4" s="20"/>
      <c r="E4" s="20"/>
    </row>
    <row r="5" spans="1:5" x14ac:dyDescent="0.25">
      <c r="A5" t="s">
        <v>336</v>
      </c>
      <c r="B5" s="16">
        <f>Resumen!B8</f>
      </c>
      <c r="C5" s="16">
        <f>Resumen!C8</f>
      </c>
      <c r="D5" s="16">
        <f>Resumen!D8</f>
      </c>
      <c r="E5" s="8" t="s">
        <v>337</v>
      </c>
    </row>
    <row r="6" spans="1:5" x14ac:dyDescent="0.25">
      <c r="A6" t="s">
        <v>338</v>
      </c>
      <c r="B6" s="16">
        <f>Resumen!B10</f>
      </c>
      <c r="C6" s="16">
        <f>Resumen!C10</f>
      </c>
      <c r="D6" s="16">
        <f>Resumen!D10</f>
      </c>
      <c r="E6" s="8" t="s">
        <v>339</v>
      </c>
    </row>
    <row r="7" spans="1:5" x14ac:dyDescent="0.25">
      <c r="A7" t="s">
        <v>340</v>
      </c>
      <c r="B7" s="6">
        <f>B5+B6</f>
      </c>
      <c r="C7" s="6">
        <f>C5+C6</f>
      </c>
      <c r="D7" s="6">
        <f>D5+D6</f>
      </c>
      <c r="E7" t="s">
        <v>1</v>
      </c>
    </row>
    <row r="9" spans="1:5" s="2" customFormat="1" x14ac:dyDescent="0.25">
      <c r="A9" s="20" t="s">
        <v>341</v>
      </c>
      <c r="B9" s="20"/>
      <c r="C9" s="20"/>
      <c r="D9" s="20"/>
      <c r="E9" s="20"/>
    </row>
    <row r="10" spans="1:5" x14ac:dyDescent="0.25">
      <c r="A10" t="s">
        <v>342</v>
      </c>
      <c r="B10" s="27">
        <v>0.75</v>
      </c>
      <c r="C10" s="27">
        <v>0.75</v>
      </c>
      <c r="D10" s="27">
        <v>0.75</v>
      </c>
      <c r="E10" s="8" t="s">
        <v>343</v>
      </c>
    </row>
    <row r="11" spans="1:5" x14ac:dyDescent="0.25">
      <c r="A11" t="s">
        <v>344</v>
      </c>
      <c r="B11" s="16">
        <f>B7/(1-B10)</f>
      </c>
      <c r="C11" s="16">
        <f>C7/(1-C10)</f>
      </c>
      <c r="D11" s="16">
        <f>D7/(1-D10)</f>
      </c>
      <c r="E11" s="8" t="s">
        <v>345</v>
      </c>
    </row>
    <row r="12" spans="1:5" x14ac:dyDescent="0.25">
      <c r="A12" t="s">
        <v>346</v>
      </c>
      <c r="B12" s="6">
        <v>120</v>
      </c>
      <c r="C12" s="6">
        <v>110</v>
      </c>
      <c r="D12" s="6">
        <v>95</v>
      </c>
      <c r="E12" s="8" t="s">
        <v>347</v>
      </c>
    </row>
    <row r="13" spans="1:5" x14ac:dyDescent="0.25">
      <c r="A13" t="s">
        <v>348</v>
      </c>
      <c r="B13" s="27">
        <v>0.35</v>
      </c>
      <c r="C13" s="27">
        <v>0.35</v>
      </c>
      <c r="D13" s="27">
        <v>0.3</v>
      </c>
      <c r="E13" s="8" t="s">
        <v>343</v>
      </c>
    </row>
    <row r="14" spans="1:5" x14ac:dyDescent="0.25">
      <c r="A14" t="s">
        <v>349</v>
      </c>
      <c r="B14" s="16">
        <f>B12*B13</f>
      </c>
      <c r="C14" s="16">
        <f>C12*C13</f>
      </c>
      <c r="D14" s="16">
        <f>D12*D13</f>
      </c>
      <c r="E14" s="8" t="s">
        <v>350</v>
      </c>
    </row>
    <row r="15" spans="1:5" x14ac:dyDescent="0.25">
      <c r="A15" t="s">
        <v>351</v>
      </c>
      <c r="B15" s="27">
        <v>0.15</v>
      </c>
      <c r="C15" s="27">
        <v>0.12</v>
      </c>
      <c r="D15" s="27">
        <v>0.1</v>
      </c>
      <c r="E15" s="8" t="s">
        <v>343</v>
      </c>
    </row>
    <row r="16" spans="1:5" x14ac:dyDescent="0.25">
      <c r="A16" t="s">
        <v>352</v>
      </c>
      <c r="B16" s="16">
        <f>Resumen!B5*B15</f>
      </c>
      <c r="C16" s="16">
        <f>Resumen!C5*C15</f>
      </c>
      <c r="D16" s="16">
        <f>Resumen!D5*D15</f>
      </c>
      <c r="E16" s="8" t="s">
        <v>353</v>
      </c>
    </row>
    <row r="18" spans="1:5" s="2" customFormat="1" x14ac:dyDescent="0.25">
      <c r="A18" s="20" t="s">
        <v>354</v>
      </c>
      <c r="B18" s="20"/>
      <c r="C18" s="20"/>
      <c r="D18" s="20"/>
      <c r="E18" s="20"/>
    </row>
    <row r="19" spans="1:5" x14ac:dyDescent="0.25">
      <c r="A19" t="s">
        <v>355</v>
      </c>
      <c r="B19" s="6">
        <f>Resumen!B13</f>
      </c>
      <c r="C19" s="6">
        <f>Resumen!C13</f>
      </c>
      <c r="D19" s="6">
        <f>Resumen!D13</f>
      </c>
      <c r="E19" s="8" t="s">
        <v>356</v>
      </c>
    </row>
    <row r="20" spans="1:5" x14ac:dyDescent="0.25">
      <c r="A20" t="s">
        <v>357</v>
      </c>
      <c r="B20" s="25">
        <f>(B19-B7)/B19</f>
      </c>
      <c r="C20" s="25">
        <f>(C19-C7)/C19</f>
      </c>
      <c r="D20" s="25">
        <f>(D19-D7)/D19</f>
      </c>
      <c r="E20" t="s">
        <v>1</v>
      </c>
    </row>
    <row r="21" spans="1:5" x14ac:dyDescent="0.25">
      <c r="A21" t="s">
        <v>358</v>
      </c>
      <c r="B21" s="7">
        <f>1-B19/B12</f>
      </c>
      <c r="C21" s="7">
        <f>1-C19/C12</f>
      </c>
      <c r="D21" s="7">
        <f>1-D19/D12</f>
      </c>
      <c r="E21" s="8" t="s">
        <v>359</v>
      </c>
    </row>
    <row r="22" spans="1:5" x14ac:dyDescent="0.25">
      <c r="A22" t="s">
        <v>360</v>
      </c>
      <c r="B22" s="26">
        <f>B19*Parametros!B4</f>
      </c>
      <c r="C22" s="26">
        <f>C19*Parametros!C4</f>
      </c>
      <c r="D22" s="26">
        <f>D19*Parametros!D4</f>
      </c>
      <c r="E22" t="s">
        <v>1</v>
      </c>
    </row>
    <row r="23" spans="1:5" x14ac:dyDescent="0.25">
      <c r="A23" t="s">
        <v>331</v>
      </c>
      <c r="B23" s="16">
        <f>(B19-B7)*Parametros!B4</f>
      </c>
      <c r="C23" s="16">
        <f>(C19-C7)*Parametros!C4</f>
      </c>
      <c r="D23" s="16">
        <f>(D19-D7)*Parametros!D4</f>
      </c>
      <c r="E23" t="s">
        <v>1</v>
      </c>
    </row>
    <row r="25" spans="1:5" s="2" customFormat="1" x14ac:dyDescent="0.25">
      <c r="A25" s="20" t="s">
        <v>361</v>
      </c>
      <c r="B25" s="20"/>
      <c r="C25" s="20"/>
      <c r="D25" s="20"/>
      <c r="E25" s="20"/>
    </row>
    <row r="26" spans="1:5" x14ac:dyDescent="0.25">
      <c r="A26" t="s">
        <v>362</v>
      </c>
      <c r="B26" s="9">
        <f>Resumen!B5+B7</f>
      </c>
      <c r="C26" s="9">
        <f>Resumen!C5+C7</f>
      </c>
      <c r="D26" s="9">
        <f>Resumen!D5+D7</f>
      </c>
      <c r="E26" s="8" t="s">
        <v>363</v>
      </c>
    </row>
    <row r="27" spans="1:5" x14ac:dyDescent="0.25">
      <c r="A27" t="s">
        <v>364</v>
      </c>
      <c r="B27" s="16">
        <f>Resumen!B5+B7</f>
      </c>
      <c r="C27" s="16">
        <f>Resumen!C5+C7</f>
      </c>
      <c r="D27" s="16">
        <f>Resumen!D5+D7</f>
      </c>
      <c r="E27" s="8" t="s">
        <v>365</v>
      </c>
    </row>
    <row r="28" spans="1:5" x14ac:dyDescent="0.25">
      <c r="A28" t="s">
        <v>366</v>
      </c>
      <c r="B28" s="16">
        <f>(Resumen!B5+B7)/(1-B10)</f>
      </c>
      <c r="C28" s="16">
        <f>(Resumen!C5+C7)/(1-C10)</f>
      </c>
      <c r="D28" s="16">
        <f>(Resumen!D5+D7)/(1-D10)</f>
      </c>
      <c r="E28" s="8" t="s">
        <v>367</v>
      </c>
    </row>
    <row r="30" spans="1:5" s="2" customFormat="1" x14ac:dyDescent="0.25">
      <c r="A30" s="2" t="s">
        <v>368</v>
      </c>
      <c r="B30" s="2"/>
      <c r="C30" s="2"/>
      <c r="D30" s="2"/>
      <c r="E30" s="2"/>
    </row>
    <row r="31" spans="1:5" s="17" customFormat="1" x14ac:dyDescent="0.25">
      <c r="A31" s="17" t="s">
        <v>369</v>
      </c>
      <c r="B31" s="17"/>
      <c r="C31" s="17"/>
      <c r="D31" s="17"/>
      <c r="E31" s="17"/>
    </row>
    <row r="32" spans="1:5" s="17" customFormat="1" x14ac:dyDescent="0.25">
      <c r="A32" s="17" t="s">
        <v>370</v>
      </c>
      <c r="B32" s="17"/>
      <c r="C32" s="17"/>
      <c r="D32" s="17"/>
      <c r="E32" s="17"/>
    </row>
    <row r="33" spans="1:5" s="17" customFormat="1" x14ac:dyDescent="0.25">
      <c r="A33" s="17" t="s">
        <v>371</v>
      </c>
      <c r="B33" s="17"/>
      <c r="C33" s="17"/>
      <c r="D33" s="17"/>
      <c r="E33" s="17"/>
    </row>
    <row r="34" spans="1:5" s="17" customFormat="1" x14ac:dyDescent="0.25">
      <c r="A34" s="17" t="s">
        <v>372</v>
      </c>
      <c r="B34" s="17"/>
      <c r="C34" s="17"/>
      <c r="D34" s="17"/>
      <c r="E34" s="17"/>
    </row>
    <row r="35" spans="1:5" s="17" customFormat="1" x14ac:dyDescent="0.25">
      <c r="A35" s="17" t="s">
        <v>373</v>
      </c>
      <c r="B35" s="17"/>
      <c r="C35" s="17"/>
      <c r="D35" s="17"/>
      <c r="E35" s="17"/>
    </row>
    <row r="36" spans="1:5" s="17" customFormat="1" x14ac:dyDescent="0.25">
      <c r="A36" s="17" t="s">
        <v>374</v>
      </c>
      <c r="B36" s="17"/>
      <c r="C36" s="17"/>
      <c r="D36" s="17"/>
      <c r="E36" s="17"/>
    </row>
    <row r="37" spans="1:5" s="17" customFormat="1" x14ac:dyDescent="0.25">
      <c r="A37" s="17" t="s">
        <v>1</v>
      </c>
      <c r="B37" s="17"/>
      <c r="C37" s="17"/>
      <c r="D37" s="17"/>
      <c r="E37" s="17"/>
    </row>
    <row r="38" spans="1:5" s="17" customFormat="1" x14ac:dyDescent="0.25">
      <c r="A38" s="17" t="s">
        <v>375</v>
      </c>
      <c r="B38" s="17"/>
      <c r="C38" s="17"/>
      <c r="D38" s="17"/>
      <c r="E38" s="17"/>
    </row>
    <row r="39" spans="1:5" s="17" customFormat="1" x14ac:dyDescent="0.25">
      <c r="A39" s="17" t="s">
        <v>376</v>
      </c>
      <c r="B39" s="17"/>
      <c r="C39" s="17"/>
      <c r="D39" s="17"/>
      <c r="E39" s="17"/>
    </row>
    <row r="40" spans="1:5" s="17" customFormat="1" x14ac:dyDescent="0.25">
      <c r="A40" s="17" t="s">
        <v>377</v>
      </c>
      <c r="B40" s="17"/>
      <c r="C40" s="17"/>
      <c r="D40" s="17"/>
      <c r="E40" s="17"/>
    </row>
    <row r="41" spans="1:5" s="17" customFormat="1" x14ac:dyDescent="0.25">
      <c r="A41" s="17" t="s">
        <v>1</v>
      </c>
      <c r="B41" s="17"/>
      <c r="C41" s="17"/>
      <c r="D41" s="17"/>
      <c r="E41" s="17"/>
    </row>
    <row r="42" spans="1:5" s="17" customFormat="1" x14ac:dyDescent="0.25">
      <c r="A42" s="17" t="s">
        <v>378</v>
      </c>
      <c r="B42" s="17"/>
      <c r="C42" s="17"/>
      <c r="D42" s="17"/>
      <c r="E42" s="17"/>
    </row>
    <row r="43" spans="1:5" s="17" customFormat="1" x14ac:dyDescent="0.25">
      <c r="A43" s="17" t="s">
        <v>379</v>
      </c>
      <c r="B43" s="17"/>
      <c r="C43" s="17"/>
      <c r="D43" s="17"/>
      <c r="E43" s="17"/>
    </row>
    <row r="44" spans="1:5" s="17" customFormat="1" x14ac:dyDescent="0.25">
      <c r="A44" s="17" t="s">
        <v>380</v>
      </c>
      <c r="B44" s="17"/>
      <c r="C44" s="17"/>
      <c r="D44" s="17"/>
      <c r="E44" s="17"/>
    </row>
    <row r="45" spans="1:5" s="17" customFormat="1" x14ac:dyDescent="0.25">
      <c r="A45" s="17" t="s">
        <v>1</v>
      </c>
      <c r="B45" s="17"/>
      <c r="C45" s="17"/>
      <c r="D45" s="17"/>
      <c r="E45" s="17"/>
    </row>
    <row r="46" spans="1:5" s="17" customFormat="1" x14ac:dyDescent="0.25">
      <c r="A46" s="17" t="s">
        <v>381</v>
      </c>
      <c r="B46" s="17"/>
      <c r="C46" s="17"/>
      <c r="D46" s="17"/>
      <c r="E46" s="17"/>
    </row>
    <row r="47" spans="1:5" s="17" customFormat="1" x14ac:dyDescent="0.25">
      <c r="A47" s="17" t="s">
        <v>382</v>
      </c>
      <c r="B47" s="17"/>
      <c r="C47" s="17"/>
      <c r="D47" s="17"/>
      <c r="E47" s="17"/>
    </row>
    <row r="48" spans="1:5" s="17" customFormat="1" x14ac:dyDescent="0.25">
      <c r="A48" s="17" t="s">
        <v>383</v>
      </c>
      <c r="B48" s="17"/>
      <c r="C48" s="17"/>
      <c r="D48" s="17"/>
      <c r="E48" s="17"/>
    </row>
  </sheetData>
  <mergeCells count="24">
    <mergeCell ref="A1:E1"/>
    <mergeCell ref="A4:E4"/>
    <mergeCell ref="A9:E9"/>
    <mergeCell ref="A18:E18"/>
    <mergeCell ref="A25:E25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FormatPr defaultRowHeight="15" outlineLevelRow="0" outlineLevelCol="0" x14ac:dyDescent="55"/>
  <cols>
    <col min="1" max="1" width="10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s="2" customFormat="1" x14ac:dyDescent="0.25">
      <c r="A8" s="2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</v>
      </c>
    </row>
    <row r="15" spans="1:1" x14ac:dyDescent="0.25">
      <c r="A15" t="s">
        <v>12</v>
      </c>
    </row>
    <row r="16" spans="1:1" x14ac:dyDescent="0.25">
      <c r="A16" t="s">
        <v>1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1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1</v>
      </c>
    </row>
    <row r="37" spans="1:1" x14ac:dyDescent="0.25">
      <c r="A3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4" customWidth="1"/>
    <col min="3" max="3" width="12" customWidth="1"/>
    <col min="4" max="4" width="22" customWidth="1"/>
    <col min="5" max="5" width="32" customWidth="1"/>
  </cols>
  <sheetData>
    <row r="1" spans="1:5" s="1" customFormat="1" x14ac:dyDescent="0.25">
      <c r="A1" s="1" t="s">
        <v>30</v>
      </c>
      <c r="B1" s="1"/>
      <c r="C1" s="1"/>
      <c r="D1" s="1"/>
      <c r="E1" s="1"/>
    </row>
    <row r="2" spans="1:5" s="3" customFormat="1" x14ac:dyDescent="0.25">
      <c r="A2" s="3" t="s">
        <v>31</v>
      </c>
      <c r="B2" s="3"/>
      <c r="C2" s="3"/>
      <c r="D2" s="3"/>
      <c r="E2" s="3"/>
    </row>
    <row r="4" spans="1:5" x14ac:dyDescent="0.25">
      <c r="A4" s="4" t="s">
        <v>32</v>
      </c>
      <c r="B4" s="5" t="s">
        <v>33</v>
      </c>
      <c r="C4" s="5" t="s">
        <v>34</v>
      </c>
      <c r="D4" s="5" t="s">
        <v>35</v>
      </c>
      <c r="E4" s="5" t="s">
        <v>36</v>
      </c>
    </row>
    <row r="5" spans="1:5" x14ac:dyDescent="0.25">
      <c r="A5" t="s">
        <v>37</v>
      </c>
      <c r="B5" s="6">
        <v>161.2</v>
      </c>
      <c r="C5" s="7">
        <f>B5/$B$22</f>
      </c>
      <c r="D5" t="s">
        <v>38</v>
      </c>
      <c r="E5" s="8" t="s">
        <v>39</v>
      </c>
    </row>
    <row r="6" spans="1:5" x14ac:dyDescent="0.25">
      <c r="A6" t="s">
        <v>40</v>
      </c>
      <c r="B6" s="9">
        <v>75</v>
      </c>
      <c r="C6" s="7">
        <f>B6/$B$22</f>
      </c>
      <c r="D6" s="10" t="s">
        <v>41</v>
      </c>
      <c r="E6" s="8" t="s">
        <v>42</v>
      </c>
    </row>
    <row r="7" spans="1:5" x14ac:dyDescent="0.25">
      <c r="A7" t="s">
        <v>43</v>
      </c>
      <c r="B7" s="6">
        <v>51.88</v>
      </c>
      <c r="C7" s="7">
        <f>B7/$B$22</f>
      </c>
      <c r="D7" t="s">
        <v>38</v>
      </c>
      <c r="E7" s="8" t="s">
        <v>44</v>
      </c>
    </row>
    <row r="8" spans="1:5" x14ac:dyDescent="0.25">
      <c r="A8" t="s">
        <v>45</v>
      </c>
      <c r="B8" s="6">
        <v>39.2</v>
      </c>
      <c r="C8" s="7">
        <f>B8/$B$22</f>
      </c>
      <c r="D8" t="s">
        <v>38</v>
      </c>
      <c r="E8" s="8" t="s">
        <v>46</v>
      </c>
    </row>
    <row r="9" spans="1:5" x14ac:dyDescent="0.25">
      <c r="A9" t="s">
        <v>47</v>
      </c>
      <c r="B9" s="9">
        <v>29.76</v>
      </c>
      <c r="C9" s="7">
        <f>B9/$B$22</f>
      </c>
      <c r="D9" s="10" t="s">
        <v>41</v>
      </c>
      <c r="E9" s="8" t="s">
        <v>48</v>
      </c>
    </row>
    <row r="10" spans="1:5" x14ac:dyDescent="0.25">
      <c r="A10" t="s">
        <v>49</v>
      </c>
      <c r="B10" s="9">
        <v>28.13</v>
      </c>
      <c r="C10" s="7">
        <f>B10/$B$22</f>
      </c>
      <c r="D10" s="10" t="s">
        <v>41</v>
      </c>
      <c r="E10" s="8" t="s">
        <v>50</v>
      </c>
    </row>
    <row r="11" spans="1:5" x14ac:dyDescent="0.25">
      <c r="A11" t="s">
        <v>51</v>
      </c>
      <c r="B11" s="6">
        <v>23.82</v>
      </c>
      <c r="C11" s="7">
        <f>B11/$B$22</f>
      </c>
      <c r="D11" t="s">
        <v>38</v>
      </c>
      <c r="E11" s="8" t="s">
        <v>52</v>
      </c>
    </row>
    <row r="12" spans="1:5" x14ac:dyDescent="0.25">
      <c r="A12" t="s">
        <v>53</v>
      </c>
      <c r="B12" s="6">
        <v>8.68</v>
      </c>
      <c r="C12" s="7">
        <f>B12/$B$22</f>
      </c>
      <c r="D12" t="s">
        <v>38</v>
      </c>
      <c r="E12" s="8" t="s">
        <v>54</v>
      </c>
    </row>
    <row r="13" spans="1:5" x14ac:dyDescent="0.25">
      <c r="A13" t="s">
        <v>55</v>
      </c>
      <c r="B13" s="6">
        <v>3.08</v>
      </c>
      <c r="C13" s="7">
        <f>B13/$B$22</f>
      </c>
      <c r="D13" t="s">
        <v>38</v>
      </c>
      <c r="E13" s="8" t="s">
        <v>56</v>
      </c>
    </row>
    <row r="14" spans="1:5" x14ac:dyDescent="0.25">
      <c r="A14" t="s">
        <v>57</v>
      </c>
      <c r="B14" s="9">
        <v>1.67</v>
      </c>
      <c r="C14" s="7">
        <f>B14/$B$22</f>
      </c>
      <c r="D14" s="10" t="s">
        <v>41</v>
      </c>
      <c r="E14" s="8" t="s">
        <v>58</v>
      </c>
    </row>
    <row r="15" spans="1:5" x14ac:dyDescent="0.25">
      <c r="A15" t="s">
        <v>59</v>
      </c>
      <c r="B15" s="6">
        <v>1.57</v>
      </c>
      <c r="C15" s="7">
        <f>B15/$B$22</f>
      </c>
      <c r="D15" t="s">
        <v>38</v>
      </c>
      <c r="E15" s="8" t="s">
        <v>60</v>
      </c>
    </row>
    <row r="16" spans="1:5" x14ac:dyDescent="0.25">
      <c r="A16" t="s">
        <v>61</v>
      </c>
      <c r="B16" s="6">
        <v>1.16</v>
      </c>
      <c r="C16" s="7">
        <f>B16/$B$22</f>
      </c>
      <c r="D16" t="s">
        <v>38</v>
      </c>
      <c r="E16" s="8" t="s">
        <v>62</v>
      </c>
    </row>
    <row r="17" spans="1:5" x14ac:dyDescent="0.25">
      <c r="A17" t="s">
        <v>63</v>
      </c>
      <c r="B17" s="6">
        <v>0.8</v>
      </c>
      <c r="C17" s="7">
        <f>B17/$B$22</f>
      </c>
      <c r="D17" t="s">
        <v>38</v>
      </c>
      <c r="E17" s="8" t="s">
        <v>64</v>
      </c>
    </row>
    <row r="18" spans="1:5" x14ac:dyDescent="0.25">
      <c r="A18" t="s">
        <v>65</v>
      </c>
      <c r="B18" s="6">
        <v>0.73</v>
      </c>
      <c r="C18" s="7">
        <f>B18/$B$22</f>
      </c>
      <c r="D18" t="s">
        <v>38</v>
      </c>
      <c r="E18" s="8" t="s">
        <v>66</v>
      </c>
    </row>
    <row r="19" spans="1:5" x14ac:dyDescent="0.25">
      <c r="A19" t="s">
        <v>67</v>
      </c>
      <c r="B19" s="6">
        <v>0.2</v>
      </c>
      <c r="C19" s="7">
        <f>B19/$B$22</f>
      </c>
      <c r="D19" t="s">
        <v>38</v>
      </c>
      <c r="E19" s="8" t="s">
        <v>68</v>
      </c>
    </row>
    <row r="20" spans="1:5" x14ac:dyDescent="0.25">
      <c r="A20" t="s">
        <v>69</v>
      </c>
      <c r="B20" s="6">
        <v>0.05</v>
      </c>
      <c r="C20" s="7">
        <f>B20/$B$22</f>
      </c>
      <c r="D20" t="s">
        <v>38</v>
      </c>
      <c r="E20" s="8" t="s">
        <v>70</v>
      </c>
    </row>
    <row r="21" spans="1:5" x14ac:dyDescent="0.25">
      <c r="A21" t="s">
        <v>71</v>
      </c>
      <c r="B21" s="6">
        <v>0</v>
      </c>
      <c r="C21" s="7">
        <f>B21/$B$22</f>
      </c>
      <c r="D21" t="s">
        <v>72</v>
      </c>
      <c r="E21" s="8" t="s">
        <v>73</v>
      </c>
    </row>
    <row r="22" spans="1:2" s="2" customFormat="1" x14ac:dyDescent="0.25">
      <c r="A22" s="2" t="s">
        <v>74</v>
      </c>
      <c r="B22" s="11">
        <f>SUM(B5:B21)</f>
      </c>
    </row>
    <row r="23" spans="1:2" s="2" customFormat="1" x14ac:dyDescent="0.25">
      <c r="A23" s="2" t="s">
        <v>75</v>
      </c>
      <c r="B23" s="12">
        <f>B6+B9+B10+B14</f>
      </c>
    </row>
    <row r="24" spans="1:2" s="2" customFormat="1" x14ac:dyDescent="0.25">
      <c r="A24" s="2" t="s">
        <v>76</v>
      </c>
      <c r="B24" s="13">
        <f>B22-B23</f>
      </c>
    </row>
    <row r="26" spans="1:5" s="14" customFormat="1" x14ac:dyDescent="0.25">
      <c r="A26" s="14" t="s">
        <v>77</v>
      </c>
      <c r="B26" s="14"/>
      <c r="C26" s="14"/>
      <c r="D26" s="14"/>
      <c r="E26" s="14"/>
    </row>
    <row r="27" spans="1:5" x14ac:dyDescent="0.25">
      <c r="A27" t="s">
        <v>78</v>
      </c>
      <c r="B27" s="15">
        <v>4</v>
      </c>
      <c r="E27" s="8" t="s">
        <v>79</v>
      </c>
    </row>
    <row r="28" spans="1:5" x14ac:dyDescent="0.25">
      <c r="A28" t="s">
        <v>80</v>
      </c>
      <c r="B28" s="6">
        <v>45</v>
      </c>
      <c r="E28" s="8" t="s">
        <v>81</v>
      </c>
    </row>
    <row r="30" spans="1:5" x14ac:dyDescent="0.25">
      <c r="A30" s="4" t="s">
        <v>82</v>
      </c>
      <c r="B30" s="5" t="s">
        <v>83</v>
      </c>
      <c r="C30" s="5" t="s">
        <v>84</v>
      </c>
      <c r="D30" s="5" t="s">
        <v>1</v>
      </c>
      <c r="E30" s="5" t="s">
        <v>85</v>
      </c>
    </row>
    <row r="31" spans="1:5" x14ac:dyDescent="0.25">
      <c r="A31" t="s">
        <v>86</v>
      </c>
      <c r="B31" s="16">
        <f>B24</f>
      </c>
      <c r="C31" s="16">
        <f>B24</f>
      </c>
      <c r="E31" s="8" t="s">
        <v>87</v>
      </c>
    </row>
    <row r="32" spans="1:5" x14ac:dyDescent="0.25">
      <c r="A32" t="s">
        <v>88</v>
      </c>
      <c r="B32" s="16">
        <f>B23</f>
      </c>
      <c r="C32" s="16">
        <f>0</f>
      </c>
      <c r="E32" s="8" t="s">
        <v>89</v>
      </c>
    </row>
    <row r="33" spans="1:5" x14ac:dyDescent="0.25">
      <c r="A33" t="s">
        <v>90</v>
      </c>
      <c r="B33" s="16">
        <f>0</f>
      </c>
      <c r="C33" s="16">
        <f>B27*B28</f>
      </c>
      <c r="E33" s="8" t="s">
        <v>91</v>
      </c>
    </row>
    <row r="34" spans="1:3" s="2" customFormat="1" x14ac:dyDescent="0.25">
      <c r="A34" s="2" t="s">
        <v>92</v>
      </c>
      <c r="B34" s="11">
        <f>B31+B32+B33</f>
      </c>
      <c r="C34" s="11">
        <f>C31+C32+C33</f>
      </c>
    </row>
    <row r="35" spans="1:5" x14ac:dyDescent="0.25">
      <c r="A35" t="s">
        <v>93</v>
      </c>
      <c r="C35" s="6">
        <f>B32-C32</f>
      </c>
      <c r="E35" s="8" t="s">
        <v>94</v>
      </c>
    </row>
    <row r="36" spans="1:3" x14ac:dyDescent="0.25">
      <c r="A36" t="s">
        <v>95</v>
      </c>
      <c r="C36" s="7">
        <f>(B32-C32)/B22</f>
      </c>
    </row>
    <row r="38" spans="1:5" s="17" customFormat="1" x14ac:dyDescent="0.25">
      <c r="A38" s="17" t="s">
        <v>96</v>
      </c>
      <c r="B38" s="17"/>
      <c r="C38" s="17"/>
      <c r="D38" s="17"/>
      <c r="E38" s="17"/>
    </row>
    <row r="40" spans="1:5" s="18" customFormat="1" x14ac:dyDescent="0.25">
      <c r="A40" s="18" t="s">
        <v>97</v>
      </c>
      <c r="B40" s="18"/>
      <c r="C40" s="18"/>
      <c r="D40" s="18"/>
      <c r="E40" s="18"/>
    </row>
    <row r="41" spans="1:2" x14ac:dyDescent="0.25">
      <c r="A41" t="s">
        <v>98</v>
      </c>
      <c r="B41" s="16">
        <f>B5</f>
      </c>
    </row>
    <row r="42" spans="1:2" x14ac:dyDescent="0.25">
      <c r="A42" t="s">
        <v>99</v>
      </c>
      <c r="B42" s="16">
        <f>B23</f>
      </c>
    </row>
    <row r="43" spans="1:2" x14ac:dyDescent="0.25">
      <c r="A43" t="s">
        <v>100</v>
      </c>
      <c r="B43" s="16">
        <f>B7</f>
      </c>
    </row>
    <row r="44" spans="1:2" x14ac:dyDescent="0.25">
      <c r="A44" t="s">
        <v>101</v>
      </c>
      <c r="B44" s="16">
        <f>B8</f>
      </c>
    </row>
    <row r="45" spans="1:2" x14ac:dyDescent="0.25">
      <c r="A45" t="s">
        <v>102</v>
      </c>
      <c r="B45" s="16">
        <f>B11</f>
      </c>
    </row>
    <row r="46" spans="1:2" x14ac:dyDescent="0.25">
      <c r="A46" t="s">
        <v>53</v>
      </c>
      <c r="B46" s="16">
        <f>B12</f>
      </c>
    </row>
    <row r="47" spans="1:2" x14ac:dyDescent="0.25">
      <c r="A47" t="s">
        <v>103</v>
      </c>
      <c r="B47" s="16">
        <f>B22-(B5+B23+B7+B8+B11+B12)</f>
      </c>
    </row>
    <row r="48" spans="1:3" x14ac:dyDescent="0.25">
      <c r="A48" t="s">
        <v>104</v>
      </c>
      <c r="B48" t="s">
        <v>105</v>
      </c>
      <c r="C48" t="s">
        <v>84</v>
      </c>
    </row>
    <row r="49" spans="1:3" x14ac:dyDescent="0.25">
      <c r="A49" t="s">
        <v>106</v>
      </c>
      <c r="B49" s="16">
        <f>B31</f>
      </c>
      <c r="C49" s="16">
        <f>C31</f>
      </c>
    </row>
    <row r="50" spans="1:3" x14ac:dyDescent="0.25">
      <c r="A50" t="s">
        <v>107</v>
      </c>
      <c r="B50" s="16">
        <f>B32</f>
      </c>
      <c r="C50" s="16">
        <f>C32</f>
      </c>
    </row>
    <row r="51" spans="1:3" x14ac:dyDescent="0.25">
      <c r="A51" t="s">
        <v>108</v>
      </c>
      <c r="B51" s="16">
        <f>B33</f>
      </c>
      <c r="C51" s="16">
        <f>C33</f>
      </c>
    </row>
    <row r="52" spans="1:2" x14ac:dyDescent="0.25">
      <c r="A52" t="s">
        <v>109</v>
      </c>
      <c r="B52" s="16">
        <f>B6</f>
      </c>
    </row>
    <row r="53" spans="1:2" x14ac:dyDescent="0.25">
      <c r="A53" t="s">
        <v>110</v>
      </c>
      <c r="B53" s="16">
        <f>B9</f>
      </c>
    </row>
    <row r="54" spans="1:2" x14ac:dyDescent="0.25">
      <c r="A54" t="s">
        <v>111</v>
      </c>
      <c r="B54" s="16">
        <f>B10</f>
      </c>
    </row>
    <row r="55" spans="1:2" x14ac:dyDescent="0.25">
      <c r="A55" t="s">
        <v>57</v>
      </c>
      <c r="B55" s="16">
        <f>B14</f>
      </c>
    </row>
  </sheetData>
  <mergeCells count="5">
    <mergeCell ref="A1:E1"/>
    <mergeCell ref="A2:E2"/>
    <mergeCell ref="A26:E26"/>
    <mergeCell ref="A38:E38"/>
    <mergeCell ref="A40:E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Léeme</vt:lpstr>
      <vt:lpstr>UDEP (real)</vt:lpstr>
      <vt:lpstr>Parametros</vt:lpstr>
      <vt:lpstr>Precios</vt:lpstr>
      <vt:lpstr>CostoCliente</vt:lpstr>
      <vt:lpstr>CostoARIA</vt:lpstr>
      <vt:lpstr>Resumen</vt:lpstr>
      <vt:lpstr>PrecioARIA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2026-06-14T16:09:35Z</dcterms:modified>
</cp:coreProperties>
</file>